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5F3177E8-B459-4498-B79A-8F5C02B370F4}" xr6:coauthVersionLast="47" xr6:coauthVersionMax="47" xr10:uidLastSave="{00000000-0000-0000-0000-000000000000}"/>
  <bookViews>
    <workbookView xWindow="-110" yWindow="-110" windowWidth="19420" windowHeight="11020" firstSheet="2" activeTab="2" xr2:uid="{962CC9B9-B0E6-4F48-8CFB-4D4ECF30CDB8}"/>
  </bookViews>
  <sheets>
    <sheet name="Données" sheetId="2" state="hidden" r:id="rId1"/>
    <sheet name="KPI" sheetId="3" state="hidden" r:id="rId2"/>
    <sheet name="Tableau de bord" sheetId="4" r:id="rId3"/>
  </sheets>
  <definedNames>
    <definedName name="DonnéesExternes_1" localSheetId="0" hidden="1">Données!$A$1:$G$31</definedName>
    <definedName name="Segment_Agence">#N/A</definedName>
    <definedName name="Segment_Statut">#N/A</definedName>
    <definedName name="Segment_Type_de_carte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J18" i="3" l="1"/>
  <c r="J17" i="3"/>
  <c r="J16" i="3"/>
  <c r="J15" i="3"/>
  <c r="A13" i="3"/>
  <c r="A16" i="3"/>
  <c r="A19" i="3"/>
  <c r="A25" i="3"/>
  <c r="K18" i="3"/>
  <c r="K17" i="3"/>
  <c r="K15" i="3"/>
  <c r="K1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7B1EB3-1777-41D9-98BC-E085FF1249F3}" keepAlive="1" name="Requête - Tableau1" description="Connexion à la requête « Tableau1 » dans le classeur." type="5" refreshedVersion="8" background="1" saveData="1">
    <dbPr connection="Provider=Microsoft.Mashup.OleDb.1;Data Source=$Workbook$;Location=Tableau1;Extended Properties=&quot;&quot;" command="SELECT * FROM [Tableau1]"/>
  </connection>
</connections>
</file>

<file path=xl/sharedStrings.xml><?xml version="1.0" encoding="utf-8"?>
<sst xmlns="http://schemas.openxmlformats.org/spreadsheetml/2006/main" count="139" uniqueCount="42">
  <si>
    <t>Date de demande</t>
  </si>
  <si>
    <t>Date de réception</t>
  </si>
  <si>
    <t>Date d'émission</t>
  </si>
  <si>
    <t>Date d'expiration</t>
  </si>
  <si>
    <t>Type de carte</t>
  </si>
  <si>
    <t>Statut</t>
  </si>
  <si>
    <t>Agence</t>
  </si>
  <si>
    <t>Classic</t>
  </si>
  <si>
    <t>Active</t>
  </si>
  <si>
    <t>Abidjan</t>
  </si>
  <si>
    <t>Gold</t>
  </si>
  <si>
    <t>Supprimée</t>
  </si>
  <si>
    <t>Bouaké</t>
  </si>
  <si>
    <t>Business</t>
  </si>
  <si>
    <t>Renouvelée</t>
  </si>
  <si>
    <t>Cocody</t>
  </si>
  <si>
    <t>Platinum</t>
  </si>
  <si>
    <t>Treichville</t>
  </si>
  <si>
    <t>Yopougon</t>
  </si>
  <si>
    <t>Plateau</t>
  </si>
  <si>
    <t>Étiquettes de lignes</t>
  </si>
  <si>
    <t>Total général</t>
  </si>
  <si>
    <t>mars</t>
  </si>
  <si>
    <t>mai</t>
  </si>
  <si>
    <t>juin</t>
  </si>
  <si>
    <t>Nombre de Date de demande</t>
  </si>
  <si>
    <t>Nombre Total de cartes</t>
  </si>
  <si>
    <t>Nombre de Statut</t>
  </si>
  <si>
    <t>Cartes renouvelées</t>
  </si>
  <si>
    <t>Taux de renouvellement</t>
  </si>
  <si>
    <t>Cartes supprimées</t>
  </si>
  <si>
    <t>Delai de livraison</t>
  </si>
  <si>
    <t>Moyenne de Delai de livraison</t>
  </si>
  <si>
    <t>Nombre Cartes</t>
  </si>
  <si>
    <t>Cartes actives</t>
  </si>
  <si>
    <t>Mois</t>
  </si>
  <si>
    <t>janvier</t>
  </si>
  <si>
    <t>février</t>
  </si>
  <si>
    <t>avril</t>
  </si>
  <si>
    <t>juillet</t>
  </si>
  <si>
    <t>Nombre de Date d'expiration</t>
  </si>
  <si>
    <t>août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</si>
</sst>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/>
    </xf>
    <xf numFmtId="0" fontId="0" fillId="2" borderId="0" xfId="0" applyFill="1"/>
    <xf numFmtId="0" fontId="2" fillId="2" borderId="0" xfId="0" applyFont="1" applyFill="1"/>
    <xf numFmtId="9" fontId="0" fillId="0" borderId="0" xfId="1" applyFont="1"/>
    <xf numFmtId="0" fontId="0" fillId="3" borderId="0" xfId="0" applyFill="1"/>
    <xf numFmtId="0" fontId="0" fillId="4" borderId="0" xfId="0" applyFill="1"/>
  </cellXfs>
  <cellStyles count="2">
    <cellStyle name="Normal" xfId="0" builtinId="0"/>
    <cellStyle name="Pourcentage" xfId="1" builtinId="5"/>
  </cellStyles>
  <dxfs count="16"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\ "/>
    </dxf>
    <dxf>
      <numFmt numFmtId="164" formatCode="dd/mm/yyyy\ "/>
    </dxf>
    <dxf>
      <numFmt numFmtId="164" formatCode="dd/mm/yyyy\ "/>
    </dxf>
    <dxf>
      <numFmt numFmtId="164" formatCode="dd/mm/yyyy\ "/>
    </dxf>
    <dxf>
      <font>
        <color theme="1"/>
      </font>
    </dxf>
    <dxf>
      <font>
        <color theme="1"/>
      </font>
    </dxf>
  </dxfs>
  <tableStyles count="1" defaultTableStyle="TableStyleMedium2" defaultPivotStyle="PivotStyleLight16">
    <tableStyle name="Style de segment 1" pivot="0" table="0" count="4" xr9:uid="{C00E3286-C2F8-4D3E-B3B4-DDE23105F2D3}">
      <tableStyleElement type="wholeTable" dxfId="15"/>
      <tableStyleElement type="headerRow" dxfId="14"/>
    </tableStyle>
  </tableStyles>
  <colors>
    <mruColors>
      <color rgb="FF14C218"/>
      <color rgb="FF008020"/>
      <color rgb="FF14BC18"/>
      <color rgb="FF00DA63"/>
    </mruColors>
  </colors>
  <extLst>
    <ext xmlns:x14="http://schemas.microsoft.com/office/spreadsheetml/2009/9/main" uri="{46F421CA-312F-682f-3DD2-61675219B42D}">
      <x14:dxfs count="2">
        <dxf>
          <font>
            <color theme="1"/>
          </font>
        </dxf>
        <dxf>
          <font>
            <color theme="0"/>
          </font>
          <fill>
            <patternFill>
              <bgColor rgb="FF008020"/>
            </patternFill>
          </fill>
        </dxf>
      </x14:dxfs>
    </ext>
    <ext xmlns:x14="http://schemas.microsoft.com/office/spreadsheetml/2009/9/main" uri="{EB79DEF2-80B8-43e5-95BD-54CBDDF9020C}">
      <x14:slicerStyles defaultSlicerStyle="Style de segment 1">
        <x14:slicerStyle name="Style de segment 1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[Cristelle.xlsm]KPI!Tableau croisé dynamique5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Evolution  mensuelle des renouvellements</a:t>
            </a:r>
          </a:p>
        </c:rich>
      </c:tx>
      <c:layout>
        <c:manualLayout>
          <c:xMode val="edge"/>
          <c:yMode val="edge"/>
          <c:x val="0.22440851527349975"/>
          <c:y val="4.698135767588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8020"/>
            </a:solidFill>
            <a:round/>
          </a:ln>
          <a:effectLst/>
        </c:spPr>
        <c:marker>
          <c:symbol val="circle"/>
          <c:size val="5"/>
          <c:spPr>
            <a:solidFill>
              <a:srgbClr val="00802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rgbClr val="00802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8020"/>
            </a:solidFill>
            <a:round/>
          </a:ln>
          <a:effectLst/>
        </c:spPr>
        <c:marker>
          <c:symbol val="circle"/>
          <c:size val="5"/>
          <c:spPr>
            <a:solidFill>
              <a:srgbClr val="008020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KPI!$G$7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802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02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rgbClr val="00802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802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AAF-9587-1018DDE2F1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00802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KPI!$F$8:$F$16</c:f>
              <c:strCache>
                <c:ptCount val="8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</c:strCache>
            </c:strRef>
          </c:cat>
          <c:val>
            <c:numRef>
              <c:f>KPI!$G$8:$G$16</c:f>
              <c:numCache>
                <c:formatCode>General</c:formatCode>
                <c:ptCount val="8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42-4AAF-9587-1018DDE2F1C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9088400"/>
        <c:axId val="2109082640"/>
      </c:lineChart>
      <c:catAx>
        <c:axId val="210908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2109082640"/>
        <c:crosses val="autoZero"/>
        <c:auto val="1"/>
        <c:lblAlgn val="ctr"/>
        <c:lblOffset val="100"/>
        <c:noMultiLvlLbl val="0"/>
      </c:catAx>
      <c:valAx>
        <c:axId val="210908264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090884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[Cristelle.xlsm]KPI!Tableau croisé dynamique7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Repartition par</a:t>
            </a:r>
            <a:r>
              <a:rPr lang="en-US" sz="2000" b="1" baseline="0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Agence</a:t>
            </a:r>
            <a:endParaRPr lang="en-US" sz="2000" b="1">
              <a:solidFill>
                <a:srgbClr val="00802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2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00802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KPI!$N$7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2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802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KPI!$M$8:$M$14</c:f>
              <c:strCache>
                <c:ptCount val="6"/>
                <c:pt idx="0">
                  <c:v>Abidjan</c:v>
                </c:pt>
                <c:pt idx="1">
                  <c:v>Bouaké</c:v>
                </c:pt>
                <c:pt idx="2">
                  <c:v>Cocody</c:v>
                </c:pt>
                <c:pt idx="3">
                  <c:v>Plateau</c:v>
                </c:pt>
                <c:pt idx="4">
                  <c:v>Treichville</c:v>
                </c:pt>
                <c:pt idx="5">
                  <c:v>Yopougon</c:v>
                </c:pt>
              </c:strCache>
            </c:strRef>
          </c:cat>
          <c:val>
            <c:numRef>
              <c:f>KPI!$N$8:$N$14</c:f>
              <c:numCache>
                <c:formatCode>General</c:formatCode>
                <c:ptCount val="6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9-4293-9E21-8585B7B7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9098960"/>
        <c:axId val="2109100880"/>
      </c:barChart>
      <c:catAx>
        <c:axId val="210909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2109100880"/>
        <c:crosses val="autoZero"/>
        <c:auto val="1"/>
        <c:lblAlgn val="ctr"/>
        <c:lblOffset val="100"/>
        <c:noMultiLvlLbl val="0"/>
      </c:catAx>
      <c:valAx>
        <c:axId val="21091008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909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Repartition par type de carte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44450"/>
          </c:spPr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444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0-4DF1-814B-8798E272D185}"/>
              </c:ext>
            </c:extLst>
          </c:dPt>
          <c:dPt>
            <c:idx val="1"/>
            <c:bubble3D val="0"/>
            <c:spPr>
              <a:solidFill>
                <a:srgbClr val="008020"/>
              </a:solidFill>
              <a:ln w="444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0-4DF1-814B-8798E272D185}"/>
              </c:ext>
            </c:extLst>
          </c:dPt>
          <c:dPt>
            <c:idx val="2"/>
            <c:bubble3D val="0"/>
            <c:spPr>
              <a:solidFill>
                <a:srgbClr val="14BC18"/>
              </a:solidFill>
              <a:ln w="444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40-4DF1-814B-8798E272D185}"/>
              </c:ext>
            </c:extLst>
          </c:dPt>
          <c:dPt>
            <c:idx val="3"/>
            <c:bubble3D val="0"/>
            <c:spPr>
              <a:solidFill>
                <a:srgbClr val="00DA63"/>
              </a:solidFill>
              <a:ln w="444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040-4DF1-814B-8798E272D1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000" b="1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KPI!$J$15:$J$18</c:f>
              <c:strCache>
                <c:ptCount val="4"/>
                <c:pt idx="0">
                  <c:v>Business</c:v>
                </c:pt>
                <c:pt idx="1">
                  <c:v>Classic</c:v>
                </c:pt>
                <c:pt idx="2">
                  <c:v>Gold</c:v>
                </c:pt>
                <c:pt idx="3">
                  <c:v>Platinum</c:v>
                </c:pt>
              </c:strCache>
            </c:strRef>
          </c:cat>
          <c:val>
            <c:numRef>
              <c:f>KPI!$K$15:$K$18</c:f>
              <c:numCache>
                <c:formatCode>0%</c:formatCode>
                <c:ptCount val="4"/>
                <c:pt idx="0">
                  <c:v>0.25806451612903225</c:v>
                </c:pt>
                <c:pt idx="1">
                  <c:v>0.25806451612903225</c:v>
                </c:pt>
                <c:pt idx="2">
                  <c:v>0.25806451612903225</c:v>
                </c:pt>
                <c:pt idx="3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040-4DF1-814B-8798E272D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0.svg"/><Relationship Id="rId18" Type="http://schemas.openxmlformats.org/officeDocument/2006/relationships/image" Target="../media/image15.jpg"/><Relationship Id="rId3" Type="http://schemas.openxmlformats.org/officeDocument/2006/relationships/chart" Target="../charts/chart3.xml"/><Relationship Id="rId7" Type="http://schemas.openxmlformats.org/officeDocument/2006/relationships/image" Target="../media/image4.svg"/><Relationship Id="rId12" Type="http://schemas.openxmlformats.org/officeDocument/2006/relationships/image" Target="../media/image9.png"/><Relationship Id="rId17" Type="http://schemas.openxmlformats.org/officeDocument/2006/relationships/image" Target="../media/image14.svg"/><Relationship Id="rId2" Type="http://schemas.openxmlformats.org/officeDocument/2006/relationships/chart" Target="../charts/chart2.xml"/><Relationship Id="rId16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svg"/><Relationship Id="rId5" Type="http://schemas.openxmlformats.org/officeDocument/2006/relationships/image" Target="../media/image2.svg"/><Relationship Id="rId15" Type="http://schemas.openxmlformats.org/officeDocument/2006/relationships/image" Target="../media/image12.svg"/><Relationship Id="rId10" Type="http://schemas.openxmlformats.org/officeDocument/2006/relationships/image" Target="../media/image7.png"/><Relationship Id="rId4" Type="http://schemas.openxmlformats.org/officeDocument/2006/relationships/image" Target="../media/image1.png"/><Relationship Id="rId9" Type="http://schemas.openxmlformats.org/officeDocument/2006/relationships/image" Target="../media/image6.svg"/><Relationship Id="rId1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101600</xdr:rowOff>
    </xdr:from>
    <xdr:to>
      <xdr:col>3</xdr:col>
      <xdr:colOff>368300</xdr:colOff>
      <xdr:row>6</xdr:row>
      <xdr:rowOff>25400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507BE7A9-B35C-8C07-79BA-8EE8CB088892}"/>
            </a:ext>
          </a:extLst>
        </xdr:cNvPr>
        <xdr:cNvSpPr/>
      </xdr:nvSpPr>
      <xdr:spPr>
        <a:xfrm>
          <a:off x="101600" y="101600"/>
          <a:ext cx="2552700" cy="1066800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20000"/>
              <a:lumOff val="80000"/>
              <a:alpha val="25882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fr-FR" sz="4000" b="0" i="0" u="none" strike="noStrike">
            <a:solidFill>
              <a:srgbClr val="008020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548409</xdr:colOff>
      <xdr:row>0</xdr:row>
      <xdr:rowOff>139700</xdr:rowOff>
    </xdr:from>
    <xdr:to>
      <xdr:col>21</xdr:col>
      <xdr:colOff>703035</xdr:colOff>
      <xdr:row>5</xdr:row>
      <xdr:rowOff>174683</xdr:rowOff>
    </xdr:to>
    <xdr:sp macro="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737480A-EB1C-D9A1-A288-4AFA4B4D3A91}"/>
            </a:ext>
          </a:extLst>
        </xdr:cNvPr>
        <xdr:cNvSpPr/>
      </xdr:nvSpPr>
      <xdr:spPr>
        <a:xfrm>
          <a:off x="2827605" y="139700"/>
          <a:ext cx="13829805" cy="942126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20000"/>
              <a:lumOff val="80000"/>
              <a:alpha val="25882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4800" b="1">
              <a:solidFill>
                <a:srgbClr val="00802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TABLEAU DE BORD GESTION</a:t>
          </a:r>
          <a:r>
            <a:rPr lang="fr-FR" sz="4800" b="1" baseline="0">
              <a:solidFill>
                <a:srgbClr val="00802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DES CARTES</a:t>
          </a:r>
          <a:endParaRPr lang="fr-FR" sz="4800" b="1">
            <a:solidFill>
              <a:srgbClr val="00802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139700</xdr:colOff>
      <xdr:row>12</xdr:row>
      <xdr:rowOff>50800</xdr:rowOff>
    </xdr:from>
    <xdr:to>
      <xdr:col>3</xdr:col>
      <xdr:colOff>500626</xdr:colOff>
      <xdr:row>43</xdr:row>
      <xdr:rowOff>114300</xdr:rowOff>
    </xdr:to>
    <xdr:sp macro="" textlink="KPI!A4">
      <xdr:nvSpPr>
        <xdr:cNvPr id="32" name="Rectangle : coins arrondis 31">
          <a:extLst>
            <a:ext uri="{FF2B5EF4-FFF2-40B4-BE49-F238E27FC236}">
              <a16:creationId xmlns:a16="http://schemas.microsoft.com/office/drawing/2014/main" id="{36499925-1919-D176-1DB5-D5D1D4D0C0F2}"/>
            </a:ext>
          </a:extLst>
        </xdr:cNvPr>
        <xdr:cNvSpPr/>
      </xdr:nvSpPr>
      <xdr:spPr>
        <a:xfrm>
          <a:off x="139700" y="2227943"/>
          <a:ext cx="2640122" cy="5687786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20000"/>
              <a:lumOff val="80000"/>
              <a:alpha val="25882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fr-FR" sz="4000">
            <a:solidFill>
              <a:srgbClr val="00802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254000</xdr:colOff>
      <xdr:row>13</xdr:row>
      <xdr:rowOff>165100</xdr:rowOff>
    </xdr:from>
    <xdr:to>
      <xdr:col>3</xdr:col>
      <xdr:colOff>317500</xdr:colOff>
      <xdr:row>19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Type de carte">
              <a:extLst>
                <a:ext uri="{FF2B5EF4-FFF2-40B4-BE49-F238E27FC236}">
                  <a16:creationId xmlns:a16="http://schemas.microsoft.com/office/drawing/2014/main" id="{87409DA2-7C72-4757-8B39-7F3BDC08CB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de ca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000" y="2604077"/>
              <a:ext cx="2358159" cy="1125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317500</xdr:colOff>
      <xdr:row>23</xdr:row>
      <xdr:rowOff>95250</xdr:rowOff>
    </xdr:from>
    <xdr:to>
      <xdr:col>3</xdr:col>
      <xdr:colOff>254000</xdr:colOff>
      <xdr:row>30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Statut">
              <a:extLst>
                <a:ext uri="{FF2B5EF4-FFF2-40B4-BE49-F238E27FC236}">
                  <a16:creationId xmlns:a16="http://schemas.microsoft.com/office/drawing/2014/main" id="{4070F590-30F2-4987-BA1F-9C75FCBD09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" y="4410364"/>
              <a:ext cx="2231159" cy="13704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279400</xdr:colOff>
      <xdr:row>34</xdr:row>
      <xdr:rowOff>101600</xdr:rowOff>
    </xdr:from>
    <xdr:to>
      <xdr:col>3</xdr:col>
      <xdr:colOff>355600</xdr:colOff>
      <xdr:row>42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Agence">
              <a:extLst>
                <a:ext uri="{FF2B5EF4-FFF2-40B4-BE49-F238E27FC236}">
                  <a16:creationId xmlns:a16="http://schemas.microsoft.com/office/drawing/2014/main" id="{A8DD50F4-AE9A-484A-AB4F-D2DD9CE3DE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400" y="6480464"/>
              <a:ext cx="2370859" cy="14501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3</xdr:col>
      <xdr:colOff>616984</xdr:colOff>
      <xdr:row>12</xdr:row>
      <xdr:rowOff>55526</xdr:rowOff>
    </xdr:from>
    <xdr:to>
      <xdr:col>13</xdr:col>
      <xdr:colOff>635000</xdr:colOff>
      <xdr:row>27</xdr:row>
      <xdr:rowOff>14768</xdr:rowOff>
    </xdr:to>
    <xdr:sp macro="" textlink="KPI!A4">
      <xdr:nvSpPr>
        <xdr:cNvPr id="38" name="Rectangle : coins arrondis 37">
          <a:extLst>
            <a:ext uri="{FF2B5EF4-FFF2-40B4-BE49-F238E27FC236}">
              <a16:creationId xmlns:a16="http://schemas.microsoft.com/office/drawing/2014/main" id="{36CA10B0-B465-F278-709D-97244138B83A}"/>
            </a:ext>
          </a:extLst>
        </xdr:cNvPr>
        <xdr:cNvSpPr/>
      </xdr:nvSpPr>
      <xdr:spPr>
        <a:xfrm>
          <a:off x="2920705" y="2182038"/>
          <a:ext cx="7697086" cy="2617381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20000"/>
              <a:lumOff val="80000"/>
              <a:alpha val="25882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fr-FR" sz="4000">
            <a:solidFill>
              <a:srgbClr val="00802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547871</xdr:colOff>
      <xdr:row>27</xdr:row>
      <xdr:rowOff>119320</xdr:rowOff>
    </xdr:from>
    <xdr:to>
      <xdr:col>13</xdr:col>
      <xdr:colOff>664534</xdr:colOff>
      <xdr:row>44</xdr:row>
      <xdr:rowOff>49027</xdr:rowOff>
    </xdr:to>
    <xdr:sp macro="" textlink="KPI!A4">
      <xdr:nvSpPr>
        <xdr:cNvPr id="40" name="Rectangle : coins arrondis 39">
          <a:extLst>
            <a:ext uri="{FF2B5EF4-FFF2-40B4-BE49-F238E27FC236}">
              <a16:creationId xmlns:a16="http://schemas.microsoft.com/office/drawing/2014/main" id="{8D4155ED-A98E-2668-0100-29639B1ACB4E}"/>
            </a:ext>
          </a:extLst>
        </xdr:cNvPr>
        <xdr:cNvSpPr/>
      </xdr:nvSpPr>
      <xdr:spPr>
        <a:xfrm>
          <a:off x="2851592" y="4903971"/>
          <a:ext cx="7795733" cy="2942265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20000"/>
              <a:lumOff val="80000"/>
              <a:alpha val="25882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fr-FR" sz="4000">
            <a:solidFill>
              <a:srgbClr val="00802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0</xdr:colOff>
      <xdr:row>12</xdr:row>
      <xdr:rowOff>14767</xdr:rowOff>
    </xdr:from>
    <xdr:to>
      <xdr:col>21</xdr:col>
      <xdr:colOff>649767</xdr:colOff>
      <xdr:row>44</xdr:row>
      <xdr:rowOff>73837</xdr:rowOff>
    </xdr:to>
    <xdr:sp macro="" textlink="KPI!A4">
      <xdr:nvSpPr>
        <xdr:cNvPr id="41" name="Rectangle : coins arrondis 40">
          <a:extLst>
            <a:ext uri="{FF2B5EF4-FFF2-40B4-BE49-F238E27FC236}">
              <a16:creationId xmlns:a16="http://schemas.microsoft.com/office/drawing/2014/main" id="{5BADE8C1-C746-1DEF-A0B4-3C2DECEA3439}"/>
            </a:ext>
          </a:extLst>
        </xdr:cNvPr>
        <xdr:cNvSpPr/>
      </xdr:nvSpPr>
      <xdr:spPr>
        <a:xfrm>
          <a:off x="10720294" y="2255943"/>
          <a:ext cx="6009914" cy="6035541"/>
        </a:xfrm>
        <a:prstGeom prst="roundRect">
          <a:avLst/>
        </a:prstGeom>
        <a:solidFill>
          <a:schemeClr val="bg1"/>
        </a:solidFill>
        <a:ln>
          <a:solidFill>
            <a:schemeClr val="accent6">
              <a:lumMod val="20000"/>
              <a:lumOff val="80000"/>
              <a:alpha val="25882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endParaRPr lang="fr-FR" sz="4000">
            <a:solidFill>
              <a:srgbClr val="00802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629182</xdr:colOff>
      <xdr:row>12</xdr:row>
      <xdr:rowOff>43579</xdr:rowOff>
    </xdr:from>
    <xdr:to>
      <xdr:col>13</xdr:col>
      <xdr:colOff>566520</xdr:colOff>
      <xdr:row>26</xdr:row>
      <xdr:rowOff>139731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CA0F789F-1964-4CFA-A312-4A0C64B1E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707159</xdr:colOff>
      <xdr:row>28</xdr:row>
      <xdr:rowOff>144318</xdr:rowOff>
    </xdr:from>
    <xdr:to>
      <xdr:col>13</xdr:col>
      <xdr:colOff>544286</xdr:colOff>
      <xdr:row>43</xdr:row>
      <xdr:rowOff>52867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A6795696-FA50-4852-B656-9B255BF98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162820</xdr:colOff>
      <xdr:row>13</xdr:row>
      <xdr:rowOff>32564</xdr:rowOff>
    </xdr:from>
    <xdr:to>
      <xdr:col>21</xdr:col>
      <xdr:colOff>488461</xdr:colOff>
      <xdr:row>43</xdr:row>
      <xdr:rowOff>32564</xdr:rowOff>
    </xdr:to>
    <xdr:graphicFrame macro="">
      <xdr:nvGraphicFramePr>
        <xdr:cNvPr id="47" name="Graphique 46">
          <a:extLst>
            <a:ext uri="{FF2B5EF4-FFF2-40B4-BE49-F238E27FC236}">
              <a16:creationId xmlns:a16="http://schemas.microsoft.com/office/drawing/2014/main" id="{F16601C5-C532-410F-8D0D-AACE30134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578302</xdr:colOff>
      <xdr:row>0</xdr:row>
      <xdr:rowOff>90715</xdr:rowOff>
    </xdr:from>
    <xdr:to>
      <xdr:col>21</xdr:col>
      <xdr:colOff>732970</xdr:colOff>
      <xdr:row>5</xdr:row>
      <xdr:rowOff>97972</xdr:rowOff>
    </xdr:to>
    <xdr:pic>
      <xdr:nvPicPr>
        <xdr:cNvPr id="77" name="Graphique 76" descr="Banque avec un remplissage uni">
          <a:extLst>
            <a:ext uri="{FF2B5EF4-FFF2-40B4-BE49-F238E27FC236}">
              <a16:creationId xmlns:a16="http://schemas.microsoft.com/office/drawing/2014/main" id="{D6DAB0E1-A574-445C-E5C1-2ACB4A3A8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772945" y="90715"/>
          <a:ext cx="914400" cy="914400"/>
        </a:xfrm>
        <a:prstGeom prst="rect">
          <a:avLst/>
        </a:prstGeom>
      </xdr:spPr>
    </xdr:pic>
    <xdr:clientData/>
  </xdr:twoCellAnchor>
  <xdr:twoCellAnchor>
    <xdr:from>
      <xdr:col>0</xdr:col>
      <xdr:colOff>73025</xdr:colOff>
      <xdr:row>6</xdr:row>
      <xdr:rowOff>132397</xdr:rowOff>
    </xdr:from>
    <xdr:to>
      <xdr:col>3</xdr:col>
      <xdr:colOff>370969</xdr:colOff>
      <xdr:row>12</xdr:row>
      <xdr:rowOff>0</xdr:rowOff>
    </xdr:to>
    <xdr:grpSp>
      <xdr:nvGrpSpPr>
        <xdr:cNvPr id="80" name="Groupe 79">
          <a:extLst>
            <a:ext uri="{FF2B5EF4-FFF2-40B4-BE49-F238E27FC236}">
              <a16:creationId xmlns:a16="http://schemas.microsoft.com/office/drawing/2014/main" id="{E6DDA274-4C1F-B2A4-62C0-FC4D40982BE1}"/>
            </a:ext>
          </a:extLst>
        </xdr:cNvPr>
        <xdr:cNvGrpSpPr/>
      </xdr:nvGrpSpPr>
      <xdr:grpSpPr>
        <a:xfrm>
          <a:off x="73025" y="1275397"/>
          <a:ext cx="2583944" cy="1010603"/>
          <a:chOff x="175078" y="1220968"/>
          <a:chExt cx="2577140" cy="956175"/>
        </a:xfrm>
      </xdr:grpSpPr>
      <xdr:grpSp>
        <xdr:nvGrpSpPr>
          <xdr:cNvPr id="63" name="Groupe 62">
            <a:extLst>
              <a:ext uri="{FF2B5EF4-FFF2-40B4-BE49-F238E27FC236}">
                <a16:creationId xmlns:a16="http://schemas.microsoft.com/office/drawing/2014/main" id="{C431A375-601D-5331-FF03-B845515F026D}"/>
              </a:ext>
            </a:extLst>
          </xdr:cNvPr>
          <xdr:cNvGrpSpPr/>
        </xdr:nvGrpSpPr>
        <xdr:grpSpPr>
          <a:xfrm>
            <a:off x="175078" y="1220968"/>
            <a:ext cx="2522522" cy="875483"/>
            <a:chOff x="152400" y="1226620"/>
            <a:chExt cx="2522522" cy="875483"/>
          </a:xfrm>
        </xdr:grpSpPr>
        <xdr:sp macro="" textlink="KPI!A4">
          <xdr:nvSpPr>
            <xdr:cNvPr id="5" name="Rectangle : avec coins arrondis en haut 4">
              <a:extLst>
                <a:ext uri="{FF2B5EF4-FFF2-40B4-BE49-F238E27FC236}">
                  <a16:creationId xmlns:a16="http://schemas.microsoft.com/office/drawing/2014/main" id="{A29C53F6-E648-4F4C-7298-152DB10B5F78}"/>
                </a:ext>
              </a:extLst>
            </xdr:cNvPr>
            <xdr:cNvSpPr/>
          </xdr:nvSpPr>
          <xdr:spPr>
            <a:xfrm rot="5400000">
              <a:off x="980520" y="402549"/>
              <a:ext cx="870331" cy="2518473"/>
            </a:xfrm>
            <a:prstGeom prst="round2SameRect">
              <a:avLst/>
            </a:prstGeom>
            <a:solidFill>
              <a:schemeClr val="bg1"/>
            </a:solidFill>
            <a:ln>
              <a:solidFill>
                <a:srgbClr val="00802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  <xdr:sp macro="" textlink="KPI!A4">
          <xdr:nvSpPr>
            <xdr:cNvPr id="10" name="Rectangle : avec coins arrondis en haut 9">
              <a:extLst>
                <a:ext uri="{FF2B5EF4-FFF2-40B4-BE49-F238E27FC236}">
                  <a16:creationId xmlns:a16="http://schemas.microsoft.com/office/drawing/2014/main" id="{E585440D-3F78-BB8B-C360-33ED95ACBE3D}"/>
                </a:ext>
              </a:extLst>
            </xdr:cNvPr>
            <xdr:cNvSpPr/>
          </xdr:nvSpPr>
          <xdr:spPr>
            <a:xfrm rot="16200000" flipH="1">
              <a:off x="-247200" y="1630503"/>
              <a:ext cx="871200" cy="72000"/>
            </a:xfrm>
            <a:prstGeom prst="round2SameRect">
              <a:avLst/>
            </a:prstGeom>
            <a:solidFill>
              <a:schemeClr val="accent6">
                <a:lumMod val="50000"/>
              </a:schemeClr>
            </a:solidFill>
            <a:ln>
              <a:solidFill>
                <a:srgbClr val="00B0F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KPI!A4">
        <xdr:nvSpPr>
          <xdr:cNvPr id="61" name="Rectangle 60">
            <a:extLst>
              <a:ext uri="{FF2B5EF4-FFF2-40B4-BE49-F238E27FC236}">
                <a16:creationId xmlns:a16="http://schemas.microsoft.com/office/drawing/2014/main" id="{9FA5422D-EFE7-DCB5-736D-309782507467}"/>
              </a:ext>
            </a:extLst>
          </xdr:cNvPr>
          <xdr:cNvSpPr/>
        </xdr:nvSpPr>
        <xdr:spPr>
          <a:xfrm>
            <a:off x="1928065" y="1454340"/>
            <a:ext cx="824153" cy="68890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9898C5AF-E4BD-4849-87C6-17818040A6C3}" type="TxLink">
              <a:rPr lang="en-US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pPr marL="0" indent="0" algn="ctr"/>
              <a:t>31</a:t>
            </a:fld>
            <a:endParaRPr lang="fr-FR" sz="4000" b="0" i="0" u="none" strike="noStrike">
              <a:solidFill>
                <a:srgbClr val="00802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  <xdr:sp macro="" textlink="">
        <xdr:nvSpPr>
          <xdr:cNvPr id="62" name="ZoneTexte 61">
            <a:extLst>
              <a:ext uri="{FF2B5EF4-FFF2-40B4-BE49-F238E27FC236}">
                <a16:creationId xmlns:a16="http://schemas.microsoft.com/office/drawing/2014/main" id="{3925FBF2-6863-680C-5329-87398FC4513D}"/>
              </a:ext>
            </a:extLst>
          </xdr:cNvPr>
          <xdr:cNvSpPr txBox="1"/>
        </xdr:nvSpPr>
        <xdr:spPr>
          <a:xfrm>
            <a:off x="292043" y="1239481"/>
            <a:ext cx="1960590" cy="2583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8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Nbre total cartes</a:t>
            </a:r>
          </a:p>
        </xdr:txBody>
      </xdr:sp>
      <xdr:pic>
        <xdr:nvPicPr>
          <xdr:cNvPr id="79" name="Graphique 78" descr="Salle de conseil avec un remplissage uni">
            <a:extLst>
              <a:ext uri="{FF2B5EF4-FFF2-40B4-BE49-F238E27FC236}">
                <a16:creationId xmlns:a16="http://schemas.microsoft.com/office/drawing/2014/main" id="{D82A93ED-FC4B-069A-4F6F-AC15AD5EE8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60803" y="1428752"/>
            <a:ext cx="748391" cy="748391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543524</xdr:colOff>
      <xdr:row>6</xdr:row>
      <xdr:rowOff>124487</xdr:rowOff>
    </xdr:from>
    <xdr:to>
      <xdr:col>7</xdr:col>
      <xdr:colOff>98439</xdr:colOff>
      <xdr:row>11</xdr:row>
      <xdr:rowOff>158540</xdr:rowOff>
    </xdr:to>
    <xdr:grpSp>
      <xdr:nvGrpSpPr>
        <xdr:cNvPr id="83" name="Groupe 82">
          <a:extLst>
            <a:ext uri="{FF2B5EF4-FFF2-40B4-BE49-F238E27FC236}">
              <a16:creationId xmlns:a16="http://schemas.microsoft.com/office/drawing/2014/main" id="{D9B82081-0D11-9462-02BF-0E4452ADDD96}"/>
            </a:ext>
          </a:extLst>
        </xdr:cNvPr>
        <xdr:cNvGrpSpPr/>
      </xdr:nvGrpSpPr>
      <xdr:grpSpPr>
        <a:xfrm>
          <a:off x="2829524" y="1267487"/>
          <a:ext cx="2602915" cy="986553"/>
          <a:chOff x="2822720" y="1213058"/>
          <a:chExt cx="2593844" cy="941196"/>
        </a:xfrm>
      </xdr:grpSpPr>
      <xdr:grpSp>
        <xdr:nvGrpSpPr>
          <xdr:cNvPr id="59" name="Groupe 58">
            <a:extLst>
              <a:ext uri="{FF2B5EF4-FFF2-40B4-BE49-F238E27FC236}">
                <a16:creationId xmlns:a16="http://schemas.microsoft.com/office/drawing/2014/main" id="{3D93F2EC-E0FF-3B4A-0DED-F94CB64BF677}"/>
              </a:ext>
            </a:extLst>
          </xdr:cNvPr>
          <xdr:cNvGrpSpPr/>
        </xdr:nvGrpSpPr>
        <xdr:grpSpPr>
          <a:xfrm>
            <a:off x="2822720" y="1220726"/>
            <a:ext cx="2509523" cy="875967"/>
            <a:chOff x="2822720" y="1222087"/>
            <a:chExt cx="2509523" cy="875967"/>
          </a:xfrm>
        </xdr:grpSpPr>
        <xdr:sp macro="" textlink="KPI!A4">
          <xdr:nvSpPr>
            <xdr:cNvPr id="12" name="Rectangle : avec coins arrondis en haut 11">
              <a:extLst>
                <a:ext uri="{FF2B5EF4-FFF2-40B4-BE49-F238E27FC236}">
                  <a16:creationId xmlns:a16="http://schemas.microsoft.com/office/drawing/2014/main" id="{27C70F38-BC91-6212-E9A0-D740DA205496}"/>
                </a:ext>
              </a:extLst>
            </xdr:cNvPr>
            <xdr:cNvSpPr/>
          </xdr:nvSpPr>
          <xdr:spPr>
            <a:xfrm rot="5400000">
              <a:off x="3642437" y="402370"/>
              <a:ext cx="870089" cy="2509523"/>
            </a:xfrm>
            <a:prstGeom prst="round2SameRect">
              <a:avLst/>
            </a:prstGeom>
            <a:solidFill>
              <a:schemeClr val="bg1"/>
            </a:solidFill>
            <a:ln>
              <a:solidFill>
                <a:srgbClr val="00802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  <xdr:sp macro="" textlink="KPI!A4">
          <xdr:nvSpPr>
            <xdr:cNvPr id="15" name="Rectangle : avec coins arrondis en haut 14">
              <a:extLst>
                <a:ext uri="{FF2B5EF4-FFF2-40B4-BE49-F238E27FC236}">
                  <a16:creationId xmlns:a16="http://schemas.microsoft.com/office/drawing/2014/main" id="{69BBAAF3-5A98-F120-C6E7-52D397FE9BEC}"/>
                </a:ext>
              </a:extLst>
            </xdr:cNvPr>
            <xdr:cNvSpPr/>
          </xdr:nvSpPr>
          <xdr:spPr>
            <a:xfrm rot="16200000" flipH="1">
              <a:off x="2423671" y="1626454"/>
              <a:ext cx="871200" cy="72000"/>
            </a:xfrm>
            <a:prstGeom prst="round2SameRect">
              <a:avLst/>
            </a:prstGeom>
            <a:solidFill>
              <a:schemeClr val="accent6">
                <a:lumMod val="75000"/>
              </a:schemeClr>
            </a:solidFill>
            <a:ln>
              <a:solidFill>
                <a:srgbClr val="00B0F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BD95DFC7-A74B-94DE-9A01-E4FFD5838E72}"/>
              </a:ext>
            </a:extLst>
          </xdr:cNvPr>
          <xdr:cNvSpPr txBox="1"/>
        </xdr:nvSpPr>
        <xdr:spPr>
          <a:xfrm>
            <a:off x="2892772" y="1213058"/>
            <a:ext cx="2065396" cy="2658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8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Nbre cartes renouv</a:t>
            </a:r>
          </a:p>
        </xdr:txBody>
      </xdr:sp>
      <xdr:sp macro="" textlink="KPI!A13">
        <xdr:nvSpPr>
          <xdr:cNvPr id="22" name="Rectangle : coins arrondis 21">
            <a:extLst>
              <a:ext uri="{FF2B5EF4-FFF2-40B4-BE49-F238E27FC236}">
                <a16:creationId xmlns:a16="http://schemas.microsoft.com/office/drawing/2014/main" id="{CE9F89D6-0576-EE1F-3A3F-53ECE0C62073}"/>
              </a:ext>
            </a:extLst>
          </xdr:cNvPr>
          <xdr:cNvSpPr/>
        </xdr:nvSpPr>
        <xdr:spPr>
          <a:xfrm>
            <a:off x="4578975" y="1511366"/>
            <a:ext cx="837589" cy="64288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2898CF48-1008-44E6-8D94-08B9045C91E4}" type="TxLink">
              <a:rPr lang="en-US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pPr marL="0" indent="0" algn="ctr"/>
              <a:t>12</a:t>
            </a:fld>
            <a:endParaRPr lang="fr-FR" sz="4000" b="0" i="0" u="none" strike="noStrike">
              <a:solidFill>
                <a:srgbClr val="00802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  <xdr:pic>
        <xdr:nvPicPr>
          <xdr:cNvPr id="82" name="Graphique 81" descr="Pièces avec un remplissage uni">
            <a:extLst>
              <a:ext uri="{FF2B5EF4-FFF2-40B4-BE49-F238E27FC236}">
                <a16:creationId xmlns:a16="http://schemas.microsoft.com/office/drawing/2014/main" id="{7F17A6AA-B4A6-29E4-8605-5FED153B10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959552" y="1462767"/>
            <a:ext cx="646340" cy="6463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310388</xdr:colOff>
      <xdr:row>6</xdr:row>
      <xdr:rowOff>119049</xdr:rowOff>
    </xdr:from>
    <xdr:to>
      <xdr:col>10</xdr:col>
      <xdr:colOff>738428</xdr:colOff>
      <xdr:row>11</xdr:row>
      <xdr:rowOff>143402</xdr:rowOff>
    </xdr:to>
    <xdr:grpSp>
      <xdr:nvGrpSpPr>
        <xdr:cNvPr id="92" name="Groupe 91">
          <a:extLst>
            <a:ext uri="{FF2B5EF4-FFF2-40B4-BE49-F238E27FC236}">
              <a16:creationId xmlns:a16="http://schemas.microsoft.com/office/drawing/2014/main" id="{5CA9B947-48DD-788F-CBB0-87290EA25792}"/>
            </a:ext>
          </a:extLst>
        </xdr:cNvPr>
        <xdr:cNvGrpSpPr/>
      </xdr:nvGrpSpPr>
      <xdr:grpSpPr>
        <a:xfrm>
          <a:off x="5644388" y="1262049"/>
          <a:ext cx="2714040" cy="976853"/>
          <a:chOff x="5628513" y="1207620"/>
          <a:chExt cx="2707236" cy="931496"/>
        </a:xfrm>
      </xdr:grpSpPr>
      <xdr:grpSp>
        <xdr:nvGrpSpPr>
          <xdr:cNvPr id="64" name="Groupe 63">
            <a:extLst>
              <a:ext uri="{FF2B5EF4-FFF2-40B4-BE49-F238E27FC236}">
                <a16:creationId xmlns:a16="http://schemas.microsoft.com/office/drawing/2014/main" id="{0821BDE8-1229-CC74-34E9-9A1D6CC936C0}"/>
              </a:ext>
            </a:extLst>
          </xdr:cNvPr>
          <xdr:cNvGrpSpPr/>
        </xdr:nvGrpSpPr>
        <xdr:grpSpPr>
          <a:xfrm>
            <a:off x="5628513" y="1220726"/>
            <a:ext cx="2509523" cy="875967"/>
            <a:chOff x="5628513" y="1227076"/>
            <a:chExt cx="2509523" cy="875967"/>
          </a:xfrm>
        </xdr:grpSpPr>
        <xdr:sp macro="" textlink="KPI!A4">
          <xdr:nvSpPr>
            <xdr:cNvPr id="39" name="Rectangle : avec coins arrondis en haut 38">
              <a:extLst>
                <a:ext uri="{FF2B5EF4-FFF2-40B4-BE49-F238E27FC236}">
                  <a16:creationId xmlns:a16="http://schemas.microsoft.com/office/drawing/2014/main" id="{7889E2E6-9C45-C81C-D07C-FEE13E71AF2E}"/>
                </a:ext>
              </a:extLst>
            </xdr:cNvPr>
            <xdr:cNvSpPr/>
          </xdr:nvSpPr>
          <xdr:spPr>
            <a:xfrm rot="5400000">
              <a:off x="6448230" y="407359"/>
              <a:ext cx="870089" cy="2509523"/>
            </a:xfrm>
            <a:prstGeom prst="round2SameRect">
              <a:avLst/>
            </a:prstGeom>
            <a:solidFill>
              <a:schemeClr val="bg1"/>
            </a:solidFill>
            <a:ln>
              <a:solidFill>
                <a:srgbClr val="00802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  <xdr:sp macro="" textlink="KPI!A4">
          <xdr:nvSpPr>
            <xdr:cNvPr id="42" name="Rectangle : avec coins arrondis en haut 41">
              <a:extLst>
                <a:ext uri="{FF2B5EF4-FFF2-40B4-BE49-F238E27FC236}">
                  <a16:creationId xmlns:a16="http://schemas.microsoft.com/office/drawing/2014/main" id="{E3EA5660-5F86-7E5F-B135-2D7A32B42153}"/>
                </a:ext>
              </a:extLst>
            </xdr:cNvPr>
            <xdr:cNvSpPr/>
          </xdr:nvSpPr>
          <xdr:spPr>
            <a:xfrm rot="16200000" flipH="1">
              <a:off x="5229464" y="1631443"/>
              <a:ext cx="871200" cy="72000"/>
            </a:xfrm>
            <a:prstGeom prst="round2SameRect">
              <a:avLst/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B0F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chemeClr val="accent6">
                    <a:lumMod val="60000"/>
                    <a:lumOff val="4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43" name="ZoneTexte 42">
            <a:extLst>
              <a:ext uri="{FF2B5EF4-FFF2-40B4-BE49-F238E27FC236}">
                <a16:creationId xmlns:a16="http://schemas.microsoft.com/office/drawing/2014/main" id="{0D4DB344-C397-99FF-A28C-9066A1331417}"/>
              </a:ext>
            </a:extLst>
          </xdr:cNvPr>
          <xdr:cNvSpPr txBox="1"/>
        </xdr:nvSpPr>
        <xdr:spPr>
          <a:xfrm>
            <a:off x="5685518" y="1207620"/>
            <a:ext cx="2571296" cy="2993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8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Nbre cartes supprimées</a:t>
            </a:r>
          </a:p>
        </xdr:txBody>
      </xdr:sp>
      <xdr:sp macro="" textlink="KPI!A19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6FCBDDCC-EDA2-CA94-25DB-D964E2C8A629}"/>
              </a:ext>
            </a:extLst>
          </xdr:cNvPr>
          <xdr:cNvSpPr/>
        </xdr:nvSpPr>
        <xdr:spPr>
          <a:xfrm>
            <a:off x="7498160" y="1477347"/>
            <a:ext cx="837589" cy="64288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51AFC23C-17F4-4DC8-8EE2-3A50D012554E}" type="TxLink">
              <a:rPr lang="en-US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pPr marL="0" indent="0" algn="ctr"/>
              <a:t>6</a:t>
            </a:fld>
            <a:endParaRPr lang="fr-FR" sz="4000" b="0" i="0" u="none" strike="noStrike">
              <a:solidFill>
                <a:srgbClr val="00802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  <xdr:pic>
        <xdr:nvPicPr>
          <xdr:cNvPr id="85" name="Graphique 84" descr="Fermer avec un remplissage uni">
            <a:extLst>
              <a:ext uri="{FF2B5EF4-FFF2-40B4-BE49-F238E27FC236}">
                <a16:creationId xmlns:a16="http://schemas.microsoft.com/office/drawing/2014/main" id="{46F4DECF-42EE-1A6F-CCC7-1BFB6BF7EE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680981" y="1491116"/>
            <a:ext cx="648000" cy="648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88591</xdr:colOff>
      <xdr:row>6</xdr:row>
      <xdr:rowOff>131749</xdr:rowOff>
    </xdr:from>
    <xdr:to>
      <xdr:col>14</xdr:col>
      <xdr:colOff>391899</xdr:colOff>
      <xdr:row>11</xdr:row>
      <xdr:rowOff>143402</xdr:rowOff>
    </xdr:to>
    <xdr:grpSp>
      <xdr:nvGrpSpPr>
        <xdr:cNvPr id="93" name="Groupe 92">
          <a:extLst>
            <a:ext uri="{FF2B5EF4-FFF2-40B4-BE49-F238E27FC236}">
              <a16:creationId xmlns:a16="http://schemas.microsoft.com/office/drawing/2014/main" id="{FEE0C94A-8AB6-1271-20A7-094B30E9DC19}"/>
            </a:ext>
          </a:extLst>
        </xdr:cNvPr>
        <xdr:cNvGrpSpPr/>
      </xdr:nvGrpSpPr>
      <xdr:grpSpPr>
        <a:xfrm>
          <a:off x="8470591" y="1274749"/>
          <a:ext cx="2589308" cy="964153"/>
          <a:chOff x="8445645" y="1220320"/>
          <a:chExt cx="2582504" cy="918796"/>
        </a:xfrm>
      </xdr:grpSpPr>
      <xdr:grpSp>
        <xdr:nvGrpSpPr>
          <xdr:cNvPr id="58" name="Groupe 57">
            <a:extLst>
              <a:ext uri="{FF2B5EF4-FFF2-40B4-BE49-F238E27FC236}">
                <a16:creationId xmlns:a16="http://schemas.microsoft.com/office/drawing/2014/main" id="{9E9382B7-7D54-3602-2E18-1B76DB9C08CC}"/>
              </a:ext>
            </a:extLst>
          </xdr:cNvPr>
          <xdr:cNvGrpSpPr/>
        </xdr:nvGrpSpPr>
        <xdr:grpSpPr>
          <a:xfrm>
            <a:off x="8445645" y="1220726"/>
            <a:ext cx="2509523" cy="875967"/>
            <a:chOff x="8445645" y="1220726"/>
            <a:chExt cx="2509523" cy="875967"/>
          </a:xfrm>
        </xdr:grpSpPr>
        <xdr:sp macro="" textlink="KPI!A4">
          <xdr:nvSpPr>
            <xdr:cNvPr id="54" name="Rectangle : avec coins arrondis en haut 53">
              <a:extLst>
                <a:ext uri="{FF2B5EF4-FFF2-40B4-BE49-F238E27FC236}">
                  <a16:creationId xmlns:a16="http://schemas.microsoft.com/office/drawing/2014/main" id="{5F29FF9E-5EDD-6654-1F4B-45AD5796BB28}"/>
                </a:ext>
              </a:extLst>
            </xdr:cNvPr>
            <xdr:cNvSpPr/>
          </xdr:nvSpPr>
          <xdr:spPr>
            <a:xfrm rot="5400000">
              <a:off x="9265362" y="401009"/>
              <a:ext cx="870089" cy="2509523"/>
            </a:xfrm>
            <a:prstGeom prst="round2SameRect">
              <a:avLst/>
            </a:prstGeom>
            <a:solidFill>
              <a:schemeClr val="bg1"/>
            </a:solidFill>
            <a:ln>
              <a:solidFill>
                <a:srgbClr val="00802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  <xdr:sp macro="" textlink="KPI!A4">
          <xdr:nvSpPr>
            <xdr:cNvPr id="55" name="Rectangle : avec coins arrondis en haut 54">
              <a:extLst>
                <a:ext uri="{FF2B5EF4-FFF2-40B4-BE49-F238E27FC236}">
                  <a16:creationId xmlns:a16="http://schemas.microsoft.com/office/drawing/2014/main" id="{27B2DD0C-E765-9909-6DDC-923A304230FC}"/>
                </a:ext>
              </a:extLst>
            </xdr:cNvPr>
            <xdr:cNvSpPr/>
          </xdr:nvSpPr>
          <xdr:spPr>
            <a:xfrm rot="16200000" flipH="1">
              <a:off x="8046596" y="1625093"/>
              <a:ext cx="871200" cy="72000"/>
            </a:xfrm>
            <a:prstGeom prst="round2SameRect">
              <a:avLst/>
            </a:prstGeom>
            <a:solidFill>
              <a:schemeClr val="accent6">
                <a:lumMod val="40000"/>
                <a:lumOff val="60000"/>
              </a:schemeClr>
            </a:solidFill>
            <a:ln>
              <a:solidFill>
                <a:srgbClr val="00B0F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7CA6E499-4766-EA10-A978-522E314478B4}"/>
              </a:ext>
            </a:extLst>
          </xdr:cNvPr>
          <xdr:cNvSpPr txBox="1"/>
        </xdr:nvSpPr>
        <xdr:spPr>
          <a:xfrm>
            <a:off x="8481333" y="1220320"/>
            <a:ext cx="2202996" cy="2739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8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Nbre</a:t>
            </a:r>
            <a:r>
              <a:rPr lang="fr-FR" sz="1800" b="1" baseline="0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8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cartes actives</a:t>
            </a:r>
          </a:p>
        </xdr:txBody>
      </xdr:sp>
      <xdr:sp macro="" textlink="KPI!A25">
        <xdr:nvSpPr>
          <xdr:cNvPr id="57" name="Rectangle : coins arrondis 56">
            <a:extLst>
              <a:ext uri="{FF2B5EF4-FFF2-40B4-BE49-F238E27FC236}">
                <a16:creationId xmlns:a16="http://schemas.microsoft.com/office/drawing/2014/main" id="{E1B49228-8D66-EFFE-9C40-5E3B0FA597E4}"/>
              </a:ext>
            </a:extLst>
          </xdr:cNvPr>
          <xdr:cNvSpPr/>
        </xdr:nvSpPr>
        <xdr:spPr>
          <a:xfrm>
            <a:off x="10190560" y="1477347"/>
            <a:ext cx="837589" cy="64288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1C79E6C2-6486-4020-948C-DFA1869BE3C7}" type="TxLink">
              <a:rPr lang="en-US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pPr marL="0" indent="0" algn="ctr"/>
              <a:t>13</a:t>
            </a:fld>
            <a:endParaRPr lang="fr-FR" sz="4000" b="0" i="0" u="none" strike="noStrike">
              <a:solidFill>
                <a:srgbClr val="00802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  <xdr:pic>
        <xdr:nvPicPr>
          <xdr:cNvPr id="87" name="Graphique 86" descr="Coche avec un remplissage uni">
            <a:extLst>
              <a:ext uri="{FF2B5EF4-FFF2-40B4-BE49-F238E27FC236}">
                <a16:creationId xmlns:a16="http://schemas.microsoft.com/office/drawing/2014/main" id="{1FD1B6E8-7769-5947-D4C0-CC99FE5A58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8549821" y="1491116"/>
            <a:ext cx="648000" cy="648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569831</xdr:colOff>
      <xdr:row>6</xdr:row>
      <xdr:rowOff>132155</xdr:rowOff>
    </xdr:from>
    <xdr:to>
      <xdr:col>18</xdr:col>
      <xdr:colOff>79388</xdr:colOff>
      <xdr:row>11</xdr:row>
      <xdr:rowOff>143402</xdr:rowOff>
    </xdr:to>
    <xdr:grpSp>
      <xdr:nvGrpSpPr>
        <xdr:cNvPr id="94" name="Groupe 93">
          <a:extLst>
            <a:ext uri="{FF2B5EF4-FFF2-40B4-BE49-F238E27FC236}">
              <a16:creationId xmlns:a16="http://schemas.microsoft.com/office/drawing/2014/main" id="{23F1E4D3-1455-2DC2-24C6-19E3AD74AE01}"/>
            </a:ext>
          </a:extLst>
        </xdr:cNvPr>
        <xdr:cNvGrpSpPr/>
      </xdr:nvGrpSpPr>
      <xdr:grpSpPr>
        <a:xfrm>
          <a:off x="11237831" y="1275155"/>
          <a:ext cx="2557557" cy="963747"/>
          <a:chOff x="11206081" y="1220726"/>
          <a:chExt cx="2548486" cy="918390"/>
        </a:xfrm>
      </xdr:grpSpPr>
      <xdr:grpSp>
        <xdr:nvGrpSpPr>
          <xdr:cNvPr id="65" name="Groupe 64">
            <a:extLst>
              <a:ext uri="{FF2B5EF4-FFF2-40B4-BE49-F238E27FC236}">
                <a16:creationId xmlns:a16="http://schemas.microsoft.com/office/drawing/2014/main" id="{FA27B1C8-B891-F426-EB6B-96432EF5C44C}"/>
              </a:ext>
            </a:extLst>
          </xdr:cNvPr>
          <xdr:cNvGrpSpPr/>
        </xdr:nvGrpSpPr>
        <xdr:grpSpPr>
          <a:xfrm>
            <a:off x="11206081" y="1220726"/>
            <a:ext cx="2509523" cy="875967"/>
            <a:chOff x="8445645" y="1220726"/>
            <a:chExt cx="2509523" cy="875967"/>
          </a:xfrm>
        </xdr:grpSpPr>
        <xdr:sp macro="" textlink="KPI!A4">
          <xdr:nvSpPr>
            <xdr:cNvPr id="66" name="Rectangle : avec coins arrondis en haut 65">
              <a:extLst>
                <a:ext uri="{FF2B5EF4-FFF2-40B4-BE49-F238E27FC236}">
                  <a16:creationId xmlns:a16="http://schemas.microsoft.com/office/drawing/2014/main" id="{E3A75FDB-6849-B4E5-026E-771C3C02D703}"/>
                </a:ext>
              </a:extLst>
            </xdr:cNvPr>
            <xdr:cNvSpPr/>
          </xdr:nvSpPr>
          <xdr:spPr>
            <a:xfrm rot="5400000">
              <a:off x="9265362" y="401009"/>
              <a:ext cx="870089" cy="2509523"/>
            </a:xfrm>
            <a:prstGeom prst="round2SameRect">
              <a:avLst/>
            </a:prstGeom>
            <a:solidFill>
              <a:schemeClr val="bg1"/>
            </a:solidFill>
            <a:ln>
              <a:solidFill>
                <a:srgbClr val="00802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  <xdr:sp macro="" textlink="KPI!A4">
          <xdr:nvSpPr>
            <xdr:cNvPr id="67" name="Rectangle : avec coins arrondis en haut 66">
              <a:extLst>
                <a:ext uri="{FF2B5EF4-FFF2-40B4-BE49-F238E27FC236}">
                  <a16:creationId xmlns:a16="http://schemas.microsoft.com/office/drawing/2014/main" id="{A41D4FA4-0FC5-3DED-F326-FC657B8D40B3}"/>
                </a:ext>
              </a:extLst>
            </xdr:cNvPr>
            <xdr:cNvSpPr/>
          </xdr:nvSpPr>
          <xdr:spPr>
            <a:xfrm rot="16200000" flipH="1">
              <a:off x="8046596" y="1625093"/>
              <a:ext cx="871200" cy="72000"/>
            </a:xfrm>
            <a:prstGeom prst="round2SameRect">
              <a:avLst/>
            </a:prstGeom>
            <a:solidFill>
              <a:schemeClr val="accent6">
                <a:lumMod val="20000"/>
                <a:lumOff val="80000"/>
              </a:schemeClr>
            </a:solidFill>
            <a:ln>
              <a:solidFill>
                <a:srgbClr val="00B0F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C011392D-E8C4-2529-BEBA-60D9892BA05F}"/>
              </a:ext>
            </a:extLst>
          </xdr:cNvPr>
          <xdr:cNvSpPr txBox="1"/>
        </xdr:nvSpPr>
        <xdr:spPr>
          <a:xfrm>
            <a:off x="11263086" y="1249348"/>
            <a:ext cx="2423431" cy="2360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8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Delai moyen livraison</a:t>
            </a:r>
          </a:p>
        </xdr:txBody>
      </xdr:sp>
      <xdr:sp macro="" textlink="KPI!A22">
        <xdr:nvSpPr>
          <xdr:cNvPr id="69" name="Rectangle : coins arrondis 68">
            <a:extLst>
              <a:ext uri="{FF2B5EF4-FFF2-40B4-BE49-F238E27FC236}">
                <a16:creationId xmlns:a16="http://schemas.microsoft.com/office/drawing/2014/main" id="{99AA8894-5FAF-8D23-5085-EF2EB678C84E}"/>
              </a:ext>
            </a:extLst>
          </xdr:cNvPr>
          <xdr:cNvSpPr/>
        </xdr:nvSpPr>
        <xdr:spPr>
          <a:xfrm>
            <a:off x="12916978" y="1477347"/>
            <a:ext cx="837589" cy="64288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DDE2950F-2A54-43C9-8374-1DBBDE27806C}" type="TxLink">
              <a:rPr lang="en-US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pPr marL="0" indent="0" algn="ctr"/>
              <a:t>4</a:t>
            </a:fld>
            <a:endParaRPr lang="fr-FR" sz="4000" b="0" i="0" u="none" strike="noStrike">
              <a:solidFill>
                <a:srgbClr val="00802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  <xdr:pic>
        <xdr:nvPicPr>
          <xdr:cNvPr id="89" name="Graphique 88" descr="Voiture avec un remplissage uni">
            <a:extLst>
              <a:ext uri="{FF2B5EF4-FFF2-40B4-BE49-F238E27FC236}">
                <a16:creationId xmlns:a16="http://schemas.microsoft.com/office/drawing/2014/main" id="{F1DD1C64-711A-A152-083D-1B67FE3CA7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327946" y="1491116"/>
            <a:ext cx="648000" cy="64800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336695</xdr:colOff>
      <xdr:row>6</xdr:row>
      <xdr:rowOff>132155</xdr:rowOff>
    </xdr:from>
    <xdr:to>
      <xdr:col>21</xdr:col>
      <xdr:colOff>617324</xdr:colOff>
      <xdr:row>11</xdr:row>
      <xdr:rowOff>143402</xdr:rowOff>
    </xdr:to>
    <xdr:grpSp>
      <xdr:nvGrpSpPr>
        <xdr:cNvPr id="95" name="Groupe 94">
          <a:extLst>
            <a:ext uri="{FF2B5EF4-FFF2-40B4-BE49-F238E27FC236}">
              <a16:creationId xmlns:a16="http://schemas.microsoft.com/office/drawing/2014/main" id="{C71B558C-C05C-D71E-270A-4DB88B5E4127}"/>
            </a:ext>
          </a:extLst>
        </xdr:cNvPr>
        <xdr:cNvGrpSpPr/>
      </xdr:nvGrpSpPr>
      <xdr:grpSpPr>
        <a:xfrm>
          <a:off x="14052695" y="1275155"/>
          <a:ext cx="2566629" cy="963747"/>
          <a:chOff x="14011874" y="1220726"/>
          <a:chExt cx="2559825" cy="918390"/>
        </a:xfrm>
      </xdr:grpSpPr>
      <xdr:grpSp>
        <xdr:nvGrpSpPr>
          <xdr:cNvPr id="70" name="Groupe 69">
            <a:extLst>
              <a:ext uri="{FF2B5EF4-FFF2-40B4-BE49-F238E27FC236}">
                <a16:creationId xmlns:a16="http://schemas.microsoft.com/office/drawing/2014/main" id="{F7453355-72EB-D68D-9C18-CE1B4DCC845B}"/>
              </a:ext>
            </a:extLst>
          </xdr:cNvPr>
          <xdr:cNvGrpSpPr/>
        </xdr:nvGrpSpPr>
        <xdr:grpSpPr>
          <a:xfrm>
            <a:off x="14011874" y="1220726"/>
            <a:ext cx="2509523" cy="875967"/>
            <a:chOff x="8445645" y="1220726"/>
            <a:chExt cx="2509523" cy="875967"/>
          </a:xfrm>
        </xdr:grpSpPr>
        <xdr:sp macro="" textlink="KPI!A4">
          <xdr:nvSpPr>
            <xdr:cNvPr id="71" name="Rectangle : avec coins arrondis en haut 70">
              <a:extLst>
                <a:ext uri="{FF2B5EF4-FFF2-40B4-BE49-F238E27FC236}">
                  <a16:creationId xmlns:a16="http://schemas.microsoft.com/office/drawing/2014/main" id="{612FE480-C680-9E82-18B8-E3C264BC5A83}"/>
                </a:ext>
              </a:extLst>
            </xdr:cNvPr>
            <xdr:cNvSpPr/>
          </xdr:nvSpPr>
          <xdr:spPr>
            <a:xfrm rot="5400000">
              <a:off x="9265362" y="401009"/>
              <a:ext cx="870089" cy="2509523"/>
            </a:xfrm>
            <a:prstGeom prst="round2SameRect">
              <a:avLst/>
            </a:prstGeom>
            <a:solidFill>
              <a:schemeClr val="bg1"/>
            </a:solidFill>
            <a:ln>
              <a:solidFill>
                <a:srgbClr val="00802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  <xdr:sp macro="" textlink="KPI!A4">
          <xdr:nvSpPr>
            <xdr:cNvPr id="72" name="Rectangle : avec coins arrondis en haut 71">
              <a:extLst>
                <a:ext uri="{FF2B5EF4-FFF2-40B4-BE49-F238E27FC236}">
                  <a16:creationId xmlns:a16="http://schemas.microsoft.com/office/drawing/2014/main" id="{048A9EFE-6D97-25C4-9246-FB89D9457634}"/>
                </a:ext>
              </a:extLst>
            </xdr:cNvPr>
            <xdr:cNvSpPr/>
          </xdr:nvSpPr>
          <xdr:spPr>
            <a:xfrm rot="16200000" flipH="1">
              <a:off x="8046596" y="1625093"/>
              <a:ext cx="871200" cy="72000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solidFill>
                <a:srgbClr val="00B0F0">
                  <a:alpha val="25882"/>
                </a:srgb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endParaRPr lang="fr-FR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6FEAA7A0-FF3C-E331-7763-36561B836C2E}"/>
              </a:ext>
            </a:extLst>
          </xdr:cNvPr>
          <xdr:cNvSpPr txBox="1"/>
        </xdr:nvSpPr>
        <xdr:spPr>
          <a:xfrm>
            <a:off x="14085209" y="1263863"/>
            <a:ext cx="2114096" cy="2322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fr-FR" sz="1800" b="1">
                <a:solidFill>
                  <a:srgbClr val="00802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Nbre cartes reçues</a:t>
            </a:r>
          </a:p>
        </xdr:txBody>
      </xdr:sp>
      <xdr:sp macro="" textlink="KPI!E4">
        <xdr:nvSpPr>
          <xdr:cNvPr id="75" name="Rectangle : coins arrondis 74">
            <a:extLst>
              <a:ext uri="{FF2B5EF4-FFF2-40B4-BE49-F238E27FC236}">
                <a16:creationId xmlns:a16="http://schemas.microsoft.com/office/drawing/2014/main" id="{6986EC0D-7305-838A-E029-E423E1883578}"/>
              </a:ext>
            </a:extLst>
          </xdr:cNvPr>
          <xdr:cNvSpPr/>
        </xdr:nvSpPr>
        <xdr:spPr>
          <a:xfrm>
            <a:off x="15734110" y="1477347"/>
            <a:ext cx="837589" cy="64288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6D918C2A-F756-4C2F-8F62-40BF15C5224F}" type="TxLink">
              <a:rPr lang="en-US" sz="4000" b="0" i="0" u="none" strike="noStrike">
                <a:solidFill>
                  <a:srgbClr val="00802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pPr marL="0" indent="0" algn="ctr"/>
              <a:t>31</a:t>
            </a:fld>
            <a:endParaRPr lang="fr-FR" sz="4000" b="0" i="0" u="none" strike="noStrike">
              <a:solidFill>
                <a:srgbClr val="00802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  <xdr:pic>
        <xdr:nvPicPr>
          <xdr:cNvPr id="91" name="Graphique 90" descr="Enveloppe avec un remplissage uni">
            <a:extLst>
              <a:ext uri="{FF2B5EF4-FFF2-40B4-BE49-F238E27FC236}">
                <a16:creationId xmlns:a16="http://schemas.microsoft.com/office/drawing/2014/main" id="{2F489835-DFC1-B66D-081F-B60B2E9C10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117411" y="1491116"/>
            <a:ext cx="648000" cy="6480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127000</xdr:colOff>
      <xdr:row>1</xdr:row>
      <xdr:rowOff>165100</xdr:rowOff>
    </xdr:from>
    <xdr:to>
      <xdr:col>3</xdr:col>
      <xdr:colOff>165100</xdr:colOff>
      <xdr:row>5</xdr:row>
      <xdr:rowOff>38258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EB4277E-A0B2-8C23-606A-3DA6D9BB3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55600"/>
          <a:ext cx="2324100" cy="63515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852.528864004627" createdVersion="8" refreshedVersion="8" minRefreshableVersion="3" recordCount="31" xr:uid="{6922FD55-32E6-4A4A-9DCD-66189F949B5C}">
  <cacheSource type="worksheet">
    <worksheetSource name="Tableau1"/>
  </cacheSource>
  <cacheFields count="13">
    <cacheField name="Date de demande" numFmtId="164">
      <sharedItems containsSemiMixedTypes="0" containsNonDate="0" containsDate="1" containsString="0" minDate="2025-01-01T00:00:00" maxDate="2025-07-31T00:00:00" count="31">
        <d v="2025-01-01T00:00:00"/>
        <d v="2025-01-08T00:00:00"/>
        <d v="2025-01-15T00:00:00"/>
        <d v="2025-01-22T00:00:00"/>
        <d v="2025-01-29T00:00:00"/>
        <d v="2025-02-05T00:00:00"/>
        <d v="2025-02-12T00:00:00"/>
        <d v="2025-02-19T00:00:00"/>
        <d v="2025-02-26T00:00:00"/>
        <d v="2025-03-05T00:00:00"/>
        <d v="2025-03-12T00:00:00"/>
        <d v="2025-03-19T00:00:00"/>
        <d v="2025-03-26T00:00:00"/>
        <d v="2025-04-02T00:00:00"/>
        <d v="2025-04-09T00:00:00"/>
        <d v="2025-04-16T00:00:00"/>
        <d v="2025-04-23T00:00:00"/>
        <d v="2025-04-30T00:00:00"/>
        <d v="2025-05-07T00:00:00"/>
        <d v="2025-05-14T00:00:00"/>
        <d v="2025-05-21T00:00:00"/>
        <d v="2025-05-28T00:00:00"/>
        <d v="2025-06-04T00:00:00"/>
        <d v="2025-06-11T00:00:00"/>
        <d v="2025-06-18T00:00:00"/>
        <d v="2025-06-25T00:00:00"/>
        <d v="2025-07-02T00:00:00"/>
        <d v="2025-07-09T00:00:00"/>
        <d v="2025-07-16T00:00:00"/>
        <d v="2025-07-23T00:00:00"/>
        <d v="2025-07-30T00:00:00"/>
      </sharedItems>
      <fieldGroup par="10"/>
    </cacheField>
    <cacheField name="Date de réception" numFmtId="164">
      <sharedItems containsSemiMixedTypes="0" containsNonDate="0" containsDate="1" containsString="0" minDate="2025-01-05T00:00:00" maxDate="2025-08-04T00:00:00" count="31">
        <d v="2025-01-05T00:00:00"/>
        <d v="2025-01-12T00:00:00"/>
        <d v="2025-01-19T00:00:00"/>
        <d v="2025-01-26T00:00:00"/>
        <d v="2025-02-02T00:00:00"/>
        <d v="2025-02-09T00:00:00"/>
        <d v="2025-02-16T00:00:00"/>
        <d v="2025-02-23T00:00:00"/>
        <d v="2025-03-02T00:00:00"/>
        <d v="2025-03-09T00:00:00"/>
        <d v="2025-03-16T00:00:00"/>
        <d v="2025-03-23T00:00:00"/>
        <d v="2025-03-30T00:00:00"/>
        <d v="2025-04-06T00:00:00"/>
        <d v="2025-04-13T00:00:00"/>
        <d v="2025-04-20T00:00:00"/>
        <d v="2025-04-27T00:00:00"/>
        <d v="2025-05-04T00:00:00"/>
        <d v="2025-05-11T00:00:00"/>
        <d v="2025-05-18T00:00:00"/>
        <d v="2025-05-25T00:00:00"/>
        <d v="2025-06-01T00:00:00"/>
        <d v="2025-06-08T00:00:00"/>
        <d v="2025-06-15T00:00:00"/>
        <d v="2025-06-22T00:00:00"/>
        <d v="2025-06-29T00:00:00"/>
        <d v="2025-07-06T00:00:00"/>
        <d v="2025-07-13T00:00:00"/>
        <d v="2025-07-20T00:00:00"/>
        <d v="2025-07-27T00:00:00"/>
        <d v="2025-08-03T00:00:00"/>
      </sharedItems>
      <fieldGroup par="12"/>
    </cacheField>
    <cacheField name="Date d'émission" numFmtId="164">
      <sharedItems containsSemiMixedTypes="0" containsNonDate="0" containsDate="1" containsString="0" minDate="2025-01-06T00:00:00" maxDate="2025-08-05T00:00:00"/>
    </cacheField>
    <cacheField name="Date d'expiration" numFmtId="164">
      <sharedItems containsSemiMixedTypes="0" containsNonDate="0" containsDate="1" containsString="0" minDate="2026-01-06T00:00:00" maxDate="2026-08-05T00:00:00"/>
    </cacheField>
    <cacheField name="Type de carte" numFmtId="0">
      <sharedItems count="4">
        <s v="Classic"/>
        <s v="Gold"/>
        <s v="Business"/>
        <s v="Platinum"/>
      </sharedItems>
    </cacheField>
    <cacheField name="Statut" numFmtId="0">
      <sharedItems count="3">
        <s v="Active"/>
        <s v="Supprimée"/>
        <s v="Renouvelée"/>
      </sharedItems>
    </cacheField>
    <cacheField name="Agence" numFmtId="0">
      <sharedItems count="6">
        <s v="Abidjan"/>
        <s v="Bouaké"/>
        <s v="Cocody"/>
        <s v="Treichville"/>
        <s v="Yopougon"/>
        <s v="Plateau"/>
      </sharedItems>
    </cacheField>
    <cacheField name="Delai de livraison" numFmtId="0">
      <sharedItems containsSemiMixedTypes="0" containsString="0" containsNumber="1" containsInteger="1" minValue="4" maxValue="4"/>
    </cacheField>
    <cacheField name="Mois" numFmtId="0">
      <sharedItems count="8">
        <s v="janvier"/>
        <s v="février"/>
        <s v="mars"/>
        <s v="avril"/>
        <s v="mai"/>
        <s v="juin"/>
        <s v="juillet"/>
        <s v="août"/>
      </sharedItems>
    </cacheField>
    <cacheField name="Jours (Date de demande)" numFmtId="0" databaseField="0">
      <fieldGroup base="0">
        <rangePr groupBy="days" startDate="2025-01-01T00:00:00" endDate="2025-07-31T00:00:00"/>
        <groupItems count="368">
          <s v="&lt;01/01/2025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31/07/2025"/>
        </groupItems>
      </fieldGroup>
    </cacheField>
    <cacheField name="Mois (Date de demande)" numFmtId="0" databaseField="0">
      <fieldGroup base="0">
        <rangePr groupBy="months" startDate="2025-01-01T00:00:00" endDate="2025-07-31T00:00:00"/>
        <groupItems count="14">
          <s v="&lt;01/01/2025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/07/2025"/>
        </groupItems>
      </fieldGroup>
    </cacheField>
    <cacheField name="Jours (Date de réception)" numFmtId="0" databaseField="0">
      <fieldGroup base="1">
        <rangePr groupBy="days" startDate="2025-01-05T00:00:00" endDate="2025-08-04T00:00:00"/>
        <groupItems count="368">
          <s v="&lt;05/01/2025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4/08/2025"/>
        </groupItems>
      </fieldGroup>
    </cacheField>
    <cacheField name="Mois (Date de réception)" numFmtId="0" databaseField="0">
      <fieldGroup base="1">
        <rangePr groupBy="months" startDate="2025-01-05T00:00:00" endDate="2025-08-04T00:00:00"/>
        <groupItems count="14">
          <s v="&lt;05/01/2025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4/08/2025"/>
        </groupItems>
      </fieldGroup>
    </cacheField>
  </cacheFields>
  <extLst>
    <ext xmlns:x14="http://schemas.microsoft.com/office/spreadsheetml/2009/9/main" uri="{725AE2AE-9491-48be-B2B4-4EB974FC3084}">
      <x14:pivotCacheDefinition pivotCacheId="6083691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d v="2025-01-06T00:00:00"/>
    <d v="2026-01-06T00:00:00"/>
    <x v="0"/>
    <x v="0"/>
    <x v="0"/>
    <n v="4"/>
    <x v="0"/>
  </r>
  <r>
    <x v="1"/>
    <x v="1"/>
    <d v="2025-01-13T00:00:00"/>
    <d v="2026-01-13T00:00:00"/>
    <x v="1"/>
    <x v="1"/>
    <x v="1"/>
    <n v="4"/>
    <x v="0"/>
  </r>
  <r>
    <x v="2"/>
    <x v="2"/>
    <d v="2025-01-20T00:00:00"/>
    <d v="2026-01-20T00:00:00"/>
    <x v="2"/>
    <x v="2"/>
    <x v="2"/>
    <n v="4"/>
    <x v="0"/>
  </r>
  <r>
    <x v="3"/>
    <x v="3"/>
    <d v="2025-01-27T00:00:00"/>
    <d v="2026-01-27T00:00:00"/>
    <x v="3"/>
    <x v="0"/>
    <x v="3"/>
    <n v="4"/>
    <x v="0"/>
  </r>
  <r>
    <x v="4"/>
    <x v="4"/>
    <d v="2025-02-03T00:00:00"/>
    <d v="2026-02-03T00:00:00"/>
    <x v="0"/>
    <x v="2"/>
    <x v="4"/>
    <n v="4"/>
    <x v="1"/>
  </r>
  <r>
    <x v="5"/>
    <x v="5"/>
    <d v="2025-02-10T00:00:00"/>
    <d v="2026-02-10T00:00:00"/>
    <x v="1"/>
    <x v="0"/>
    <x v="5"/>
    <n v="4"/>
    <x v="1"/>
  </r>
  <r>
    <x v="6"/>
    <x v="6"/>
    <d v="2025-02-17T00:00:00"/>
    <d v="2026-02-17T00:00:00"/>
    <x v="2"/>
    <x v="1"/>
    <x v="0"/>
    <n v="4"/>
    <x v="1"/>
  </r>
  <r>
    <x v="7"/>
    <x v="7"/>
    <d v="2025-02-24T00:00:00"/>
    <d v="2026-02-24T00:00:00"/>
    <x v="3"/>
    <x v="2"/>
    <x v="1"/>
    <n v="4"/>
    <x v="1"/>
  </r>
  <r>
    <x v="8"/>
    <x v="8"/>
    <d v="2025-03-03T00:00:00"/>
    <d v="2026-03-03T00:00:00"/>
    <x v="0"/>
    <x v="0"/>
    <x v="2"/>
    <n v="4"/>
    <x v="2"/>
  </r>
  <r>
    <x v="9"/>
    <x v="9"/>
    <d v="2025-03-10T00:00:00"/>
    <d v="2026-03-10T00:00:00"/>
    <x v="1"/>
    <x v="2"/>
    <x v="3"/>
    <n v="4"/>
    <x v="2"/>
  </r>
  <r>
    <x v="10"/>
    <x v="10"/>
    <d v="2025-03-17T00:00:00"/>
    <d v="2026-03-17T00:00:00"/>
    <x v="2"/>
    <x v="0"/>
    <x v="4"/>
    <n v="4"/>
    <x v="2"/>
  </r>
  <r>
    <x v="11"/>
    <x v="11"/>
    <d v="2025-03-24T00:00:00"/>
    <d v="2026-03-24T00:00:00"/>
    <x v="3"/>
    <x v="1"/>
    <x v="5"/>
    <n v="4"/>
    <x v="2"/>
  </r>
  <r>
    <x v="12"/>
    <x v="12"/>
    <d v="2025-03-31T00:00:00"/>
    <d v="2026-03-31T00:00:00"/>
    <x v="0"/>
    <x v="2"/>
    <x v="0"/>
    <n v="4"/>
    <x v="2"/>
  </r>
  <r>
    <x v="13"/>
    <x v="13"/>
    <d v="2025-04-07T00:00:00"/>
    <d v="2026-04-07T00:00:00"/>
    <x v="1"/>
    <x v="0"/>
    <x v="1"/>
    <n v="4"/>
    <x v="3"/>
  </r>
  <r>
    <x v="14"/>
    <x v="14"/>
    <d v="2025-04-14T00:00:00"/>
    <d v="2026-04-14T00:00:00"/>
    <x v="2"/>
    <x v="2"/>
    <x v="2"/>
    <n v="4"/>
    <x v="3"/>
  </r>
  <r>
    <x v="15"/>
    <x v="15"/>
    <d v="2025-04-21T00:00:00"/>
    <d v="2026-04-21T00:00:00"/>
    <x v="3"/>
    <x v="0"/>
    <x v="3"/>
    <n v="4"/>
    <x v="3"/>
  </r>
  <r>
    <x v="16"/>
    <x v="16"/>
    <d v="2025-04-28T00:00:00"/>
    <d v="2026-04-28T00:00:00"/>
    <x v="0"/>
    <x v="1"/>
    <x v="4"/>
    <n v="4"/>
    <x v="3"/>
  </r>
  <r>
    <x v="17"/>
    <x v="17"/>
    <d v="2025-05-05T00:00:00"/>
    <d v="2026-05-05T00:00:00"/>
    <x v="1"/>
    <x v="2"/>
    <x v="5"/>
    <n v="4"/>
    <x v="4"/>
  </r>
  <r>
    <x v="18"/>
    <x v="18"/>
    <d v="2025-05-12T00:00:00"/>
    <d v="2026-05-12T00:00:00"/>
    <x v="2"/>
    <x v="0"/>
    <x v="0"/>
    <n v="4"/>
    <x v="4"/>
  </r>
  <r>
    <x v="19"/>
    <x v="19"/>
    <d v="2025-05-19T00:00:00"/>
    <d v="2026-05-19T00:00:00"/>
    <x v="3"/>
    <x v="2"/>
    <x v="1"/>
    <n v="4"/>
    <x v="4"/>
  </r>
  <r>
    <x v="20"/>
    <x v="20"/>
    <d v="2025-05-26T00:00:00"/>
    <d v="2026-05-26T00:00:00"/>
    <x v="0"/>
    <x v="0"/>
    <x v="2"/>
    <n v="4"/>
    <x v="4"/>
  </r>
  <r>
    <x v="21"/>
    <x v="21"/>
    <d v="2025-06-02T00:00:00"/>
    <d v="2026-06-02T00:00:00"/>
    <x v="1"/>
    <x v="1"/>
    <x v="3"/>
    <n v="4"/>
    <x v="5"/>
  </r>
  <r>
    <x v="22"/>
    <x v="22"/>
    <d v="2025-06-09T00:00:00"/>
    <d v="2026-06-09T00:00:00"/>
    <x v="2"/>
    <x v="2"/>
    <x v="4"/>
    <n v="4"/>
    <x v="5"/>
  </r>
  <r>
    <x v="23"/>
    <x v="23"/>
    <d v="2025-06-16T00:00:00"/>
    <d v="2026-06-16T00:00:00"/>
    <x v="3"/>
    <x v="0"/>
    <x v="5"/>
    <n v="4"/>
    <x v="5"/>
  </r>
  <r>
    <x v="24"/>
    <x v="24"/>
    <d v="2025-06-23T00:00:00"/>
    <d v="2026-06-23T00:00:00"/>
    <x v="0"/>
    <x v="2"/>
    <x v="0"/>
    <n v="4"/>
    <x v="5"/>
  </r>
  <r>
    <x v="25"/>
    <x v="25"/>
    <d v="2025-06-30T00:00:00"/>
    <d v="2026-06-30T00:00:00"/>
    <x v="1"/>
    <x v="0"/>
    <x v="1"/>
    <n v="4"/>
    <x v="5"/>
  </r>
  <r>
    <x v="26"/>
    <x v="26"/>
    <d v="2025-07-07T00:00:00"/>
    <d v="2026-07-07T00:00:00"/>
    <x v="2"/>
    <x v="1"/>
    <x v="2"/>
    <n v="4"/>
    <x v="6"/>
  </r>
  <r>
    <x v="27"/>
    <x v="27"/>
    <d v="2025-07-14T00:00:00"/>
    <d v="2026-07-14T00:00:00"/>
    <x v="3"/>
    <x v="2"/>
    <x v="3"/>
    <n v="4"/>
    <x v="6"/>
  </r>
  <r>
    <x v="28"/>
    <x v="28"/>
    <d v="2025-07-21T00:00:00"/>
    <d v="2026-07-21T00:00:00"/>
    <x v="0"/>
    <x v="0"/>
    <x v="4"/>
    <n v="4"/>
    <x v="6"/>
  </r>
  <r>
    <x v="29"/>
    <x v="29"/>
    <d v="2025-07-28T00:00:00"/>
    <d v="2026-07-28T00:00:00"/>
    <x v="1"/>
    <x v="2"/>
    <x v="5"/>
    <n v="4"/>
    <x v="6"/>
  </r>
  <r>
    <x v="30"/>
    <x v="30"/>
    <d v="2025-08-04T00:00:00"/>
    <d v="2026-08-04T00:00:00"/>
    <x v="2"/>
    <x v="0"/>
    <x v="0"/>
    <n v="4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21587-91B1-4586-B6BC-172C49F2902C}" name="Tableau croisé dynamique7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3">
  <location ref="M7:N14" firstHeaderRow="1" firstDataRow="1" firstDataCol="1"/>
  <pivotFields count="13">
    <pivotField dataField="1"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numFmtId="164" showAll="0"/>
    <pivotField showAll="0">
      <items count="5">
        <item x="2"/>
        <item x="0"/>
        <item x="1"/>
        <item x="3"/>
        <item t="default"/>
      </items>
    </pivotField>
    <pivotField showAll="0">
      <items count="4">
        <item x="0"/>
        <item x="2"/>
        <item x="1"/>
        <item t="default"/>
      </items>
    </pivotField>
    <pivotField axis="axisRow" showAll="0">
      <items count="7">
        <item x="0"/>
        <item x="1"/>
        <item x="2"/>
        <item x="5"/>
        <item x="3"/>
        <item x="4"/>
        <item t="default"/>
      </items>
    </pivotField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Nombre de Date de demande" fld="0" subtotal="count" baseField="0" baseItem="0"/>
  </dataFields>
  <formats count="1">
    <format dxfId="0">
      <pivotArea dataOnly="0" labelOnly="1" outline="0" axis="axisValues" fieldPosition="0"/>
    </format>
  </formats>
  <chartFormats count="1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F9E03E-42C3-4F83-B3DF-53637F2A8EF1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7:K12" firstHeaderRow="1" firstDataRow="1" firstDataCol="1"/>
  <pivotFields count="13">
    <pivotField dataField="1"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numFmtId="164" showAll="0"/>
    <pivotField axis="axisRow" showAll="0">
      <items count="5">
        <item x="2"/>
        <item x="0"/>
        <item x="1"/>
        <item x="3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5"/>
        <item x="3"/>
        <item x="4"/>
        <item t="default"/>
      </items>
    </pivotField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ombre de Date de demande" fld="0" subtotal="count" baseField="0" baseItem="0"/>
  </dataFields>
  <formats count="1"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F3DEAF-B6B2-4020-87A4-6BF5EA84D938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3">
  <location ref="F7:G16" firstHeaderRow="1" firstDataRow="1" firstDataCol="1"/>
  <pivotFields count="13"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dataField="1" numFmtId="164" showAll="0"/>
    <pivotField showAll="0">
      <items count="5">
        <item x="2"/>
        <item x="0"/>
        <item x="1"/>
        <item x="3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5"/>
        <item x="3"/>
        <item x="4"/>
        <item t="default"/>
      </items>
    </pivotField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Nombre de Date d'expiration" fld="3" subtotal="count" baseField="0" baseItem="0"/>
  </dataFields>
  <formats count="1">
    <format dxfId="2">
      <pivotArea dataOnly="0" labelOnly="1" outline="0" axis="axisValues" fieldPosition="0"/>
    </format>
  </formats>
  <chartFormats count="2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A0477F-9BB6-4657-9D23-2C8880D21844}" name="Tableau croisé dynamique4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3:E4" firstHeaderRow="1" firstDataRow="1" firstDataCol="0"/>
  <pivotFields count="13"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dataField="1"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numFmtId="16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dataFields count="1">
    <dataField name="Nombre Cartes" fld="1" subtotal="count" baseField="0" baseItem="0"/>
  </dataFields>
  <formats count="1"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4D7AA-28C1-400A-8C85-D877BB86750E}" name="Tableau croisé dynamique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21:A22" firstHeaderRow="1" firstDataRow="1" firstDataCol="0"/>
  <pivotFields count="13"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numFmtId="164" showAll="0"/>
    <pivotField showAll="0">
      <items count="5">
        <item x="2"/>
        <item x="0"/>
        <item x="1"/>
        <item x="3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5"/>
        <item x="3"/>
        <item x="4"/>
        <item t="default"/>
      </items>
    </pivotField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Moyenne de Delai de livraison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EEBE22-648B-4DE0-8E03-AC9539D3CAF1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6:B10" firstHeaderRow="1" firstDataRow="1" firstDataCol="1"/>
  <pivotFields count="13"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numFmtId="164" showAll="0"/>
    <pivotField showAll="0">
      <items count="5">
        <item x="2"/>
        <item x="0"/>
        <item x="1"/>
        <item x="3"/>
        <item t="default"/>
      </items>
    </pivotField>
    <pivotField axis="axisRow" dataField="1"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5"/>
        <item x="3"/>
        <item x="4"/>
        <item t="default"/>
      </items>
    </pivotField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Statut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C63E88-9651-4537-BF7A-311747C85981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A4" firstHeaderRow="1" firstDataRow="1" firstDataCol="0"/>
  <pivotFields count="13">
    <pivotField dataField="1"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numFmtId="164" showAll="0"/>
    <pivotField showAll="0">
      <items count="5">
        <item x="2"/>
        <item x="0"/>
        <item x="1"/>
        <item x="3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5"/>
        <item x="3"/>
        <item x="4"/>
        <item t="default"/>
      </items>
    </pivotField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Nombre Total de cartes" fld="0" subtotal="count" baseField="0" baseItem="0"/>
  </dataFields>
  <formats count="1"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D4816222-4B06-49B2-B433-7731AF93FD04}" autoFormatId="16" applyNumberFormats="0" applyBorderFormats="0" applyFontFormats="0" applyPatternFormats="0" applyAlignmentFormats="0" applyWidthHeightFormats="0">
  <queryTableRefresh nextId="10" unboundColumnsRight="2">
    <queryTableFields count="9">
      <queryTableField id="1" name="Date de demande" tableColumnId="1"/>
      <queryTableField id="2" name="Date de réception" tableColumnId="2"/>
      <queryTableField id="3" name="Date d'émission" tableColumnId="3"/>
      <queryTableField id="4" name="Date d'expiration" tableColumnId="4"/>
      <queryTableField id="5" name="Type de carte" tableColumnId="5"/>
      <queryTableField id="6" name="Statut" tableColumnId="6"/>
      <queryTableField id="7" name="Agence" tableColumnId="7"/>
      <queryTableField id="8" dataBound="0" tableColumnId="8"/>
      <queryTableField id="9" dataBound="0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_de_carte" xr10:uid="{9AEE8B68-287E-4E48-894C-6F5909E19004}" sourceName="Type de carte">
  <pivotTables>
    <pivotTable tabId="3" name="Tableau croisé dynamique5"/>
    <pivotTable tabId="3" name="Tableau croisé dynamique1"/>
    <pivotTable tabId="3" name="Tableau croisé dynamique2"/>
    <pivotTable tabId="3" name="Tableau croisé dynamique3"/>
    <pivotTable tabId="3" name="Tableau croisé dynamique6"/>
    <pivotTable tabId="3" name="Tableau croisé dynamique7"/>
  </pivotTables>
  <data>
    <tabular pivotCacheId="608369106">
      <items count="4">
        <i x="2" s="1"/>
        <i x="0" s="1"/>
        <i x="1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tatut" xr10:uid="{58CA02EE-632D-4C9A-86EE-F1916404951E}" sourceName="Statut">
  <pivotTables>
    <pivotTable tabId="3" name="Tableau croisé dynamique5"/>
    <pivotTable tabId="3" name="Tableau croisé dynamique1"/>
    <pivotTable tabId="3" name="Tableau croisé dynamique2"/>
    <pivotTable tabId="3" name="Tableau croisé dynamique3"/>
    <pivotTable tabId="3" name="Tableau croisé dynamique6"/>
    <pivotTable tabId="3" name="Tableau croisé dynamique7"/>
  </pivotTables>
  <data>
    <tabular pivotCacheId="608369106">
      <items count="3"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nce" xr10:uid="{7087C236-5071-4595-A4EB-801D67CFFA46}" sourceName="Agence">
  <pivotTables>
    <pivotTable tabId="3" name="Tableau croisé dynamique5"/>
    <pivotTable tabId="3" name="Tableau croisé dynamique1"/>
    <pivotTable tabId="3" name="Tableau croisé dynamique2"/>
    <pivotTable tabId="3" name="Tableau croisé dynamique3"/>
    <pivotTable tabId="3" name="Tableau croisé dynamique6"/>
    <pivotTable tabId="3" name="Tableau croisé dynamique7"/>
  </pivotTables>
  <data>
    <tabular pivotCacheId="608369106">
      <items count="6">
        <i x="0" s="1"/>
        <i x="1" s="1"/>
        <i x="2" s="1"/>
        <i x="5" s="1"/>
        <i x="3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 de carte" xr10:uid="{C834D321-CD9B-465D-BD03-ABE4FCBE4723}" cache="Segment_Type_de_carte" caption="Type de carte" columnCount="2" rowHeight="251883"/>
  <slicer name="Statut" xr10:uid="{C9D4E4A5-A12B-4B47-8DD2-E9ADDA03A7DE}" cache="Segment_Statut" caption="Statut" rowHeight="251883"/>
  <slicer name="Agence" xr10:uid="{837AE0C0-C7C4-42CB-A6C5-7BA1FCD2B2A8}" cache="Segment_Agence" caption="Agence" columnCount="2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B538E-16E4-495A-AFE1-6F1B0E9D7664}" name="Tableau1" displayName="Tableau1" ref="A1:I31" tableType="queryTable" totalsRowShown="0">
  <autoFilter ref="A1:I31" xr:uid="{931B538E-16E4-495A-AFE1-6F1B0E9D7664}"/>
  <tableColumns count="9">
    <tableColumn id="1" xr3:uid="{1C14B32C-737D-44E6-9076-0B1FFD1EBDDF}" uniqueName="1" name="Date de demande" queryTableFieldId="1" dataDxfId="13"/>
    <tableColumn id="2" xr3:uid="{35DADA8A-1D2A-4A06-8168-FA1C0B504712}" uniqueName="2" name="Date de réception" queryTableFieldId="2" dataDxfId="12"/>
    <tableColumn id="3" xr3:uid="{F21A2F73-DD6B-40D3-AAAF-ECF42AE73D73}" uniqueName="3" name="Date d'émission" queryTableFieldId="3" dataDxfId="11"/>
    <tableColumn id="4" xr3:uid="{9B12387E-DD3E-4BCB-B75F-8029FCF7B62B}" uniqueName="4" name="Date d'expiration" queryTableFieldId="4" dataDxfId="10"/>
    <tableColumn id="5" xr3:uid="{A4BCA2A8-3687-44FE-ABDE-15F28D44C9D9}" uniqueName="5" name="Type de carte" queryTableFieldId="5" dataDxfId="9"/>
    <tableColumn id="6" xr3:uid="{DFB84C18-BACD-41F6-9814-AFCB75CC4721}" uniqueName="6" name="Statut" queryTableFieldId="6" dataDxfId="8"/>
    <tableColumn id="7" xr3:uid="{9B8678B0-303F-49EE-937D-2A8C49CD8C57}" uniqueName="7" name="Agence" queryTableFieldId="7" dataDxfId="7"/>
    <tableColumn id="8" xr3:uid="{CFA26B4B-59B7-4055-9A60-E917F08646CB}" uniqueName="8" name="Delai de livraison" queryTableFieldId="8" dataDxfId="6">
      <calculatedColumnFormula>Tableau1[[#This Row],[Date de réception]]-Tableau1[[#This Row],[Date de demande]]</calculatedColumnFormula>
    </tableColumn>
    <tableColumn id="9" xr3:uid="{7E99CDCF-F48F-4CAD-9464-611C73EA7D3E}" uniqueName="9" name="Mois" queryTableFieldId="9" dataDxfId="5">
      <calculatedColumnFormula>TEXT(Tableau1[[#This Row],[Date d''expiration]], "mmmm")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AF2F9-6BA5-43A9-9B71-7D0B4D4B43C2}">
  <sheetPr codeName="Feuil1"/>
  <dimension ref="A1:I31"/>
  <sheetViews>
    <sheetView workbookViewId="0">
      <selection activeCell="H32" sqref="H32"/>
    </sheetView>
  </sheetViews>
  <sheetFormatPr baseColWidth="10" defaultRowHeight="14.5" x14ac:dyDescent="0.35"/>
  <cols>
    <col min="1" max="1" width="17.7265625" style="2" bestFit="1" customWidth="1"/>
    <col min="2" max="2" width="17.81640625" style="2" bestFit="1" customWidth="1"/>
    <col min="3" max="3" width="16.54296875" style="2" bestFit="1" customWidth="1"/>
    <col min="4" max="4" width="17.36328125" style="2" bestFit="1" customWidth="1"/>
    <col min="5" max="5" width="14.08984375" bestFit="1" customWidth="1"/>
    <col min="6" max="6" width="10.1796875" bestFit="1" customWidth="1"/>
    <col min="7" max="7" width="9.1796875" bestFit="1" customWidth="1"/>
    <col min="8" max="8" width="17.453125" bestFit="1" customWidth="1"/>
    <col min="9" max="9" width="7" bestFit="1" customWidth="1"/>
  </cols>
  <sheetData>
    <row r="1" spans="1:9" x14ac:dyDescent="0.35">
      <c r="A1" s="2" t="s">
        <v>0</v>
      </c>
      <c r="B1" s="2" t="s">
        <v>1</v>
      </c>
      <c r="C1" s="2" t="s">
        <v>2</v>
      </c>
      <c r="D1" s="2" t="s">
        <v>3</v>
      </c>
      <c r="E1" t="s">
        <v>4</v>
      </c>
      <c r="F1" t="s">
        <v>5</v>
      </c>
      <c r="G1" t="s">
        <v>6</v>
      </c>
      <c r="H1" t="s">
        <v>31</v>
      </c>
      <c r="I1" t="s">
        <v>35</v>
      </c>
    </row>
    <row r="2" spans="1:9" x14ac:dyDescent="0.35">
      <c r="A2" s="2">
        <v>45658</v>
      </c>
      <c r="B2" s="2">
        <v>45662</v>
      </c>
      <c r="C2" s="2">
        <v>45663</v>
      </c>
      <c r="D2" s="2">
        <v>46028</v>
      </c>
      <c r="E2" s="1" t="s">
        <v>7</v>
      </c>
      <c r="F2" s="1" t="s">
        <v>8</v>
      </c>
      <c r="G2" s="1" t="s">
        <v>9</v>
      </c>
      <c r="H2" s="1">
        <f>Tableau1[[#This Row],[Date de réception]]-Tableau1[[#This Row],[Date de demande]]</f>
        <v>4</v>
      </c>
      <c r="I2" s="1" t="str">
        <f>TEXT(Tableau1[[#This Row],[Date d''expiration]], "mmmm")</f>
        <v>janvier</v>
      </c>
    </row>
    <row r="3" spans="1:9" x14ac:dyDescent="0.35">
      <c r="A3" s="2">
        <v>45665</v>
      </c>
      <c r="B3" s="2">
        <v>45669</v>
      </c>
      <c r="C3" s="2">
        <v>45670</v>
      </c>
      <c r="D3" s="2">
        <v>46035</v>
      </c>
      <c r="E3" s="1" t="s">
        <v>10</v>
      </c>
      <c r="F3" s="1" t="s">
        <v>11</v>
      </c>
      <c r="G3" s="1" t="s">
        <v>12</v>
      </c>
      <c r="H3" s="1">
        <f>Tableau1[[#This Row],[Date de réception]]-Tableau1[[#This Row],[Date de demande]]</f>
        <v>4</v>
      </c>
      <c r="I3" s="1" t="str">
        <f>TEXT(Tableau1[[#This Row],[Date d''expiration]], "mmmm")</f>
        <v>janvier</v>
      </c>
    </row>
    <row r="4" spans="1:9" x14ac:dyDescent="0.35">
      <c r="A4" s="2">
        <v>45672</v>
      </c>
      <c r="B4" s="2">
        <v>45676</v>
      </c>
      <c r="C4" s="2">
        <v>45677</v>
      </c>
      <c r="D4" s="2">
        <v>46042</v>
      </c>
      <c r="E4" s="1" t="s">
        <v>13</v>
      </c>
      <c r="F4" s="1" t="s">
        <v>14</v>
      </c>
      <c r="G4" s="1" t="s">
        <v>15</v>
      </c>
      <c r="H4" s="1">
        <f>Tableau1[[#This Row],[Date de réception]]-Tableau1[[#This Row],[Date de demande]]</f>
        <v>4</v>
      </c>
      <c r="I4" s="1" t="str">
        <f>TEXT(Tableau1[[#This Row],[Date d''expiration]], "mmmm")</f>
        <v>janvier</v>
      </c>
    </row>
    <row r="5" spans="1:9" x14ac:dyDescent="0.35">
      <c r="A5" s="2">
        <v>45679</v>
      </c>
      <c r="B5" s="2">
        <v>45683</v>
      </c>
      <c r="C5" s="2">
        <v>45684</v>
      </c>
      <c r="D5" s="2">
        <v>46049</v>
      </c>
      <c r="E5" s="1" t="s">
        <v>16</v>
      </c>
      <c r="F5" s="1" t="s">
        <v>8</v>
      </c>
      <c r="G5" s="1" t="s">
        <v>17</v>
      </c>
      <c r="H5" s="1">
        <f>Tableau1[[#This Row],[Date de réception]]-Tableau1[[#This Row],[Date de demande]]</f>
        <v>4</v>
      </c>
      <c r="I5" s="1" t="str">
        <f>TEXT(Tableau1[[#This Row],[Date d''expiration]], "mmmm")</f>
        <v>janvier</v>
      </c>
    </row>
    <row r="6" spans="1:9" x14ac:dyDescent="0.35">
      <c r="A6" s="2">
        <v>45686</v>
      </c>
      <c r="B6" s="2">
        <v>45690</v>
      </c>
      <c r="C6" s="2">
        <v>45691</v>
      </c>
      <c r="D6" s="2">
        <v>46056</v>
      </c>
      <c r="E6" s="1" t="s">
        <v>7</v>
      </c>
      <c r="F6" s="1" t="s">
        <v>14</v>
      </c>
      <c r="G6" s="1" t="s">
        <v>18</v>
      </c>
      <c r="H6" s="1">
        <f>Tableau1[[#This Row],[Date de réception]]-Tableau1[[#This Row],[Date de demande]]</f>
        <v>4</v>
      </c>
      <c r="I6" s="1" t="str">
        <f>TEXT(Tableau1[[#This Row],[Date d''expiration]], "mmmm")</f>
        <v>février</v>
      </c>
    </row>
    <row r="7" spans="1:9" x14ac:dyDescent="0.35">
      <c r="A7" s="2">
        <v>45693</v>
      </c>
      <c r="B7" s="2">
        <v>45697</v>
      </c>
      <c r="C7" s="2">
        <v>45698</v>
      </c>
      <c r="D7" s="2">
        <v>46063</v>
      </c>
      <c r="E7" s="1" t="s">
        <v>10</v>
      </c>
      <c r="F7" s="1" t="s">
        <v>8</v>
      </c>
      <c r="G7" s="1" t="s">
        <v>19</v>
      </c>
      <c r="H7" s="1">
        <f>Tableau1[[#This Row],[Date de réception]]-Tableau1[[#This Row],[Date de demande]]</f>
        <v>4</v>
      </c>
      <c r="I7" s="1" t="str">
        <f>TEXT(Tableau1[[#This Row],[Date d''expiration]], "mmmm")</f>
        <v>février</v>
      </c>
    </row>
    <row r="8" spans="1:9" x14ac:dyDescent="0.35">
      <c r="A8" s="2">
        <v>45700</v>
      </c>
      <c r="B8" s="2">
        <v>45704</v>
      </c>
      <c r="C8" s="2">
        <v>45705</v>
      </c>
      <c r="D8" s="2">
        <v>46070</v>
      </c>
      <c r="E8" s="1" t="s">
        <v>13</v>
      </c>
      <c r="F8" s="1" t="s">
        <v>11</v>
      </c>
      <c r="G8" s="1" t="s">
        <v>9</v>
      </c>
      <c r="H8" s="1">
        <f>Tableau1[[#This Row],[Date de réception]]-Tableau1[[#This Row],[Date de demande]]</f>
        <v>4</v>
      </c>
      <c r="I8" s="1" t="str">
        <f>TEXT(Tableau1[[#This Row],[Date d''expiration]], "mmmm")</f>
        <v>février</v>
      </c>
    </row>
    <row r="9" spans="1:9" x14ac:dyDescent="0.35">
      <c r="A9" s="2">
        <v>45707</v>
      </c>
      <c r="B9" s="2">
        <v>45711</v>
      </c>
      <c r="C9" s="2">
        <v>45712</v>
      </c>
      <c r="D9" s="2">
        <v>46077</v>
      </c>
      <c r="E9" s="1" t="s">
        <v>16</v>
      </c>
      <c r="F9" s="1" t="s">
        <v>14</v>
      </c>
      <c r="G9" s="1" t="s">
        <v>12</v>
      </c>
      <c r="H9" s="1">
        <f>Tableau1[[#This Row],[Date de réception]]-Tableau1[[#This Row],[Date de demande]]</f>
        <v>4</v>
      </c>
      <c r="I9" s="1" t="str">
        <f>TEXT(Tableau1[[#This Row],[Date d''expiration]], "mmmm")</f>
        <v>février</v>
      </c>
    </row>
    <row r="10" spans="1:9" x14ac:dyDescent="0.35">
      <c r="A10" s="2">
        <v>45714</v>
      </c>
      <c r="B10" s="2">
        <v>45718</v>
      </c>
      <c r="C10" s="2">
        <v>45719</v>
      </c>
      <c r="D10" s="2">
        <v>46084</v>
      </c>
      <c r="E10" s="1" t="s">
        <v>7</v>
      </c>
      <c r="F10" s="1" t="s">
        <v>8</v>
      </c>
      <c r="G10" s="1" t="s">
        <v>15</v>
      </c>
      <c r="H10" s="1">
        <f>Tableau1[[#This Row],[Date de réception]]-Tableau1[[#This Row],[Date de demande]]</f>
        <v>4</v>
      </c>
      <c r="I10" s="1" t="str">
        <f>TEXT(Tableau1[[#This Row],[Date d''expiration]], "mmmm")</f>
        <v>mars</v>
      </c>
    </row>
    <row r="11" spans="1:9" x14ac:dyDescent="0.35">
      <c r="A11" s="2">
        <v>45721</v>
      </c>
      <c r="B11" s="2">
        <v>45725</v>
      </c>
      <c r="C11" s="2">
        <v>45726</v>
      </c>
      <c r="D11" s="2">
        <v>46091</v>
      </c>
      <c r="E11" s="1" t="s">
        <v>10</v>
      </c>
      <c r="F11" s="1" t="s">
        <v>14</v>
      </c>
      <c r="G11" s="1" t="s">
        <v>17</v>
      </c>
      <c r="H11" s="1">
        <f>Tableau1[[#This Row],[Date de réception]]-Tableau1[[#This Row],[Date de demande]]</f>
        <v>4</v>
      </c>
      <c r="I11" s="1" t="str">
        <f>TEXT(Tableau1[[#This Row],[Date d''expiration]], "mmmm")</f>
        <v>mars</v>
      </c>
    </row>
    <row r="12" spans="1:9" x14ac:dyDescent="0.35">
      <c r="A12" s="2">
        <v>45728</v>
      </c>
      <c r="B12" s="2">
        <v>45732</v>
      </c>
      <c r="C12" s="2">
        <v>45733</v>
      </c>
      <c r="D12" s="2">
        <v>46098</v>
      </c>
      <c r="E12" s="1" t="s">
        <v>13</v>
      </c>
      <c r="F12" s="1" t="s">
        <v>8</v>
      </c>
      <c r="G12" s="1" t="s">
        <v>18</v>
      </c>
      <c r="H12" s="1">
        <f>Tableau1[[#This Row],[Date de réception]]-Tableau1[[#This Row],[Date de demande]]</f>
        <v>4</v>
      </c>
      <c r="I12" s="1" t="str">
        <f>TEXT(Tableau1[[#This Row],[Date d''expiration]], "mmmm")</f>
        <v>mars</v>
      </c>
    </row>
    <row r="13" spans="1:9" x14ac:dyDescent="0.35">
      <c r="A13" s="2">
        <v>45735</v>
      </c>
      <c r="B13" s="2">
        <v>45739</v>
      </c>
      <c r="C13" s="2">
        <v>45740</v>
      </c>
      <c r="D13" s="2">
        <v>46105</v>
      </c>
      <c r="E13" s="1" t="s">
        <v>16</v>
      </c>
      <c r="F13" s="1" t="s">
        <v>11</v>
      </c>
      <c r="G13" s="1" t="s">
        <v>19</v>
      </c>
      <c r="H13" s="1">
        <f>Tableau1[[#This Row],[Date de réception]]-Tableau1[[#This Row],[Date de demande]]</f>
        <v>4</v>
      </c>
      <c r="I13" s="1" t="str">
        <f>TEXT(Tableau1[[#This Row],[Date d''expiration]], "mmmm")</f>
        <v>mars</v>
      </c>
    </row>
    <row r="14" spans="1:9" x14ac:dyDescent="0.35">
      <c r="A14" s="2">
        <v>45742</v>
      </c>
      <c r="B14" s="2">
        <v>45746</v>
      </c>
      <c r="C14" s="2">
        <v>45747</v>
      </c>
      <c r="D14" s="2">
        <v>46112</v>
      </c>
      <c r="E14" s="1" t="s">
        <v>7</v>
      </c>
      <c r="F14" s="1" t="s">
        <v>14</v>
      </c>
      <c r="G14" s="1" t="s">
        <v>9</v>
      </c>
      <c r="H14" s="1">
        <f>Tableau1[[#This Row],[Date de réception]]-Tableau1[[#This Row],[Date de demande]]</f>
        <v>4</v>
      </c>
      <c r="I14" s="1" t="str">
        <f>TEXT(Tableau1[[#This Row],[Date d''expiration]], "mmmm")</f>
        <v>mars</v>
      </c>
    </row>
    <row r="15" spans="1:9" x14ac:dyDescent="0.35">
      <c r="A15" s="2">
        <v>45749</v>
      </c>
      <c r="B15" s="2">
        <v>45753</v>
      </c>
      <c r="C15" s="2">
        <v>45754</v>
      </c>
      <c r="D15" s="2">
        <v>46119</v>
      </c>
      <c r="E15" s="1" t="s">
        <v>10</v>
      </c>
      <c r="F15" s="1" t="s">
        <v>8</v>
      </c>
      <c r="G15" s="1" t="s">
        <v>12</v>
      </c>
      <c r="H15" s="1">
        <f>Tableau1[[#This Row],[Date de réception]]-Tableau1[[#This Row],[Date de demande]]</f>
        <v>4</v>
      </c>
      <c r="I15" s="1" t="str">
        <f>TEXT(Tableau1[[#This Row],[Date d''expiration]], "mmmm")</f>
        <v>avril</v>
      </c>
    </row>
    <row r="16" spans="1:9" x14ac:dyDescent="0.35">
      <c r="A16" s="2">
        <v>45756</v>
      </c>
      <c r="B16" s="2">
        <v>45760</v>
      </c>
      <c r="C16" s="2">
        <v>45761</v>
      </c>
      <c r="D16" s="2">
        <v>46126</v>
      </c>
      <c r="E16" s="1" t="s">
        <v>13</v>
      </c>
      <c r="F16" s="1" t="s">
        <v>14</v>
      </c>
      <c r="G16" s="1" t="s">
        <v>15</v>
      </c>
      <c r="H16" s="1">
        <f>Tableau1[[#This Row],[Date de réception]]-Tableau1[[#This Row],[Date de demande]]</f>
        <v>4</v>
      </c>
      <c r="I16" s="1" t="str">
        <f>TEXT(Tableau1[[#This Row],[Date d''expiration]], "mmmm")</f>
        <v>avril</v>
      </c>
    </row>
    <row r="17" spans="1:9" x14ac:dyDescent="0.35">
      <c r="A17" s="2">
        <v>45763</v>
      </c>
      <c r="B17" s="2">
        <v>45767</v>
      </c>
      <c r="C17" s="2">
        <v>45768</v>
      </c>
      <c r="D17" s="2">
        <v>46133</v>
      </c>
      <c r="E17" s="1" t="s">
        <v>16</v>
      </c>
      <c r="F17" s="1" t="s">
        <v>8</v>
      </c>
      <c r="G17" s="1" t="s">
        <v>17</v>
      </c>
      <c r="H17" s="1">
        <f>Tableau1[[#This Row],[Date de réception]]-Tableau1[[#This Row],[Date de demande]]</f>
        <v>4</v>
      </c>
      <c r="I17" s="1" t="str">
        <f>TEXT(Tableau1[[#This Row],[Date d''expiration]], "mmmm")</f>
        <v>avril</v>
      </c>
    </row>
    <row r="18" spans="1:9" x14ac:dyDescent="0.35">
      <c r="A18" s="2">
        <v>45770</v>
      </c>
      <c r="B18" s="2">
        <v>45774</v>
      </c>
      <c r="C18" s="2">
        <v>45775</v>
      </c>
      <c r="D18" s="2">
        <v>46140</v>
      </c>
      <c r="E18" s="1" t="s">
        <v>7</v>
      </c>
      <c r="F18" s="1" t="s">
        <v>11</v>
      </c>
      <c r="G18" s="1" t="s">
        <v>18</v>
      </c>
      <c r="H18" s="1">
        <f>Tableau1[[#This Row],[Date de réception]]-Tableau1[[#This Row],[Date de demande]]</f>
        <v>4</v>
      </c>
      <c r="I18" s="1" t="str">
        <f>TEXT(Tableau1[[#This Row],[Date d''expiration]], "mmmm")</f>
        <v>avril</v>
      </c>
    </row>
    <row r="19" spans="1:9" x14ac:dyDescent="0.35">
      <c r="A19" s="2">
        <v>45777</v>
      </c>
      <c r="B19" s="2">
        <v>45781</v>
      </c>
      <c r="C19" s="2">
        <v>45782</v>
      </c>
      <c r="D19" s="2">
        <v>46147</v>
      </c>
      <c r="E19" s="1" t="s">
        <v>10</v>
      </c>
      <c r="F19" s="1" t="s">
        <v>14</v>
      </c>
      <c r="G19" s="1" t="s">
        <v>19</v>
      </c>
      <c r="H19" s="1">
        <f>Tableau1[[#This Row],[Date de réception]]-Tableau1[[#This Row],[Date de demande]]</f>
        <v>4</v>
      </c>
      <c r="I19" s="1" t="str">
        <f>TEXT(Tableau1[[#This Row],[Date d''expiration]], "mmmm")</f>
        <v>mai</v>
      </c>
    </row>
    <row r="20" spans="1:9" x14ac:dyDescent="0.35">
      <c r="A20" s="2">
        <v>45784</v>
      </c>
      <c r="B20" s="2">
        <v>45788</v>
      </c>
      <c r="C20" s="2">
        <v>45789</v>
      </c>
      <c r="D20" s="2">
        <v>46154</v>
      </c>
      <c r="E20" s="1" t="s">
        <v>13</v>
      </c>
      <c r="F20" s="1" t="s">
        <v>8</v>
      </c>
      <c r="G20" s="1" t="s">
        <v>9</v>
      </c>
      <c r="H20" s="1">
        <f>Tableau1[[#This Row],[Date de réception]]-Tableau1[[#This Row],[Date de demande]]</f>
        <v>4</v>
      </c>
      <c r="I20" s="1" t="str">
        <f>TEXT(Tableau1[[#This Row],[Date d''expiration]], "mmmm")</f>
        <v>mai</v>
      </c>
    </row>
    <row r="21" spans="1:9" x14ac:dyDescent="0.35">
      <c r="A21" s="2">
        <v>45791</v>
      </c>
      <c r="B21" s="2">
        <v>45795</v>
      </c>
      <c r="C21" s="2">
        <v>45796</v>
      </c>
      <c r="D21" s="2">
        <v>46161</v>
      </c>
      <c r="E21" s="1" t="s">
        <v>16</v>
      </c>
      <c r="F21" s="1" t="s">
        <v>14</v>
      </c>
      <c r="G21" s="1" t="s">
        <v>12</v>
      </c>
      <c r="H21" s="1">
        <f>Tableau1[[#This Row],[Date de réception]]-Tableau1[[#This Row],[Date de demande]]</f>
        <v>4</v>
      </c>
      <c r="I21" s="1" t="str">
        <f>TEXT(Tableau1[[#This Row],[Date d''expiration]], "mmmm")</f>
        <v>mai</v>
      </c>
    </row>
    <row r="22" spans="1:9" x14ac:dyDescent="0.35">
      <c r="A22" s="2">
        <v>45798</v>
      </c>
      <c r="B22" s="2">
        <v>45802</v>
      </c>
      <c r="C22" s="2">
        <v>45803</v>
      </c>
      <c r="D22" s="2">
        <v>46168</v>
      </c>
      <c r="E22" s="1" t="s">
        <v>7</v>
      </c>
      <c r="F22" s="1" t="s">
        <v>8</v>
      </c>
      <c r="G22" s="1" t="s">
        <v>15</v>
      </c>
      <c r="H22" s="1">
        <f>Tableau1[[#This Row],[Date de réception]]-Tableau1[[#This Row],[Date de demande]]</f>
        <v>4</v>
      </c>
      <c r="I22" s="1" t="str">
        <f>TEXT(Tableau1[[#This Row],[Date d''expiration]], "mmmm")</f>
        <v>mai</v>
      </c>
    </row>
    <row r="23" spans="1:9" x14ac:dyDescent="0.35">
      <c r="A23" s="2">
        <v>45805</v>
      </c>
      <c r="B23" s="2">
        <v>45809</v>
      </c>
      <c r="C23" s="2">
        <v>45810</v>
      </c>
      <c r="D23" s="2">
        <v>46175</v>
      </c>
      <c r="E23" s="1" t="s">
        <v>10</v>
      </c>
      <c r="F23" s="1" t="s">
        <v>11</v>
      </c>
      <c r="G23" s="1" t="s">
        <v>17</v>
      </c>
      <c r="H23" s="1">
        <f>Tableau1[[#This Row],[Date de réception]]-Tableau1[[#This Row],[Date de demande]]</f>
        <v>4</v>
      </c>
      <c r="I23" s="1" t="str">
        <f>TEXT(Tableau1[[#This Row],[Date d''expiration]], "mmmm")</f>
        <v>juin</v>
      </c>
    </row>
    <row r="24" spans="1:9" x14ac:dyDescent="0.35">
      <c r="A24" s="2">
        <v>45812</v>
      </c>
      <c r="B24" s="2">
        <v>45816</v>
      </c>
      <c r="C24" s="2">
        <v>45817</v>
      </c>
      <c r="D24" s="2">
        <v>46182</v>
      </c>
      <c r="E24" s="1" t="s">
        <v>13</v>
      </c>
      <c r="F24" s="1" t="s">
        <v>14</v>
      </c>
      <c r="G24" s="1" t="s">
        <v>18</v>
      </c>
      <c r="H24" s="1">
        <f>Tableau1[[#This Row],[Date de réception]]-Tableau1[[#This Row],[Date de demande]]</f>
        <v>4</v>
      </c>
      <c r="I24" s="1" t="str">
        <f>TEXT(Tableau1[[#This Row],[Date d''expiration]], "mmmm")</f>
        <v>juin</v>
      </c>
    </row>
    <row r="25" spans="1:9" x14ac:dyDescent="0.35">
      <c r="A25" s="2">
        <v>45819</v>
      </c>
      <c r="B25" s="2">
        <v>45823</v>
      </c>
      <c r="C25" s="2">
        <v>45824</v>
      </c>
      <c r="D25" s="2">
        <v>46189</v>
      </c>
      <c r="E25" s="1" t="s">
        <v>16</v>
      </c>
      <c r="F25" s="1" t="s">
        <v>8</v>
      </c>
      <c r="G25" s="1" t="s">
        <v>19</v>
      </c>
      <c r="H25" s="1">
        <f>Tableau1[[#This Row],[Date de réception]]-Tableau1[[#This Row],[Date de demande]]</f>
        <v>4</v>
      </c>
      <c r="I25" s="1" t="str">
        <f>TEXT(Tableau1[[#This Row],[Date d''expiration]], "mmmm")</f>
        <v>juin</v>
      </c>
    </row>
    <row r="26" spans="1:9" x14ac:dyDescent="0.35">
      <c r="A26" s="2">
        <v>45826</v>
      </c>
      <c r="B26" s="2">
        <v>45830</v>
      </c>
      <c r="C26" s="2">
        <v>45831</v>
      </c>
      <c r="D26" s="2">
        <v>46196</v>
      </c>
      <c r="E26" s="1" t="s">
        <v>7</v>
      </c>
      <c r="F26" s="1" t="s">
        <v>14</v>
      </c>
      <c r="G26" s="1" t="s">
        <v>9</v>
      </c>
      <c r="H26" s="1">
        <f>Tableau1[[#This Row],[Date de réception]]-Tableau1[[#This Row],[Date de demande]]</f>
        <v>4</v>
      </c>
      <c r="I26" s="1" t="str">
        <f>TEXT(Tableau1[[#This Row],[Date d''expiration]], "mmmm")</f>
        <v>juin</v>
      </c>
    </row>
    <row r="27" spans="1:9" x14ac:dyDescent="0.35">
      <c r="A27" s="2">
        <v>45833</v>
      </c>
      <c r="B27" s="2">
        <v>45837</v>
      </c>
      <c r="C27" s="2">
        <v>45838</v>
      </c>
      <c r="D27" s="2">
        <v>46203</v>
      </c>
      <c r="E27" s="1" t="s">
        <v>10</v>
      </c>
      <c r="F27" s="1" t="s">
        <v>8</v>
      </c>
      <c r="G27" s="1" t="s">
        <v>12</v>
      </c>
      <c r="H27" s="1">
        <f>Tableau1[[#This Row],[Date de réception]]-Tableau1[[#This Row],[Date de demande]]</f>
        <v>4</v>
      </c>
      <c r="I27" s="1" t="str">
        <f>TEXT(Tableau1[[#This Row],[Date d''expiration]], "mmmm")</f>
        <v>juin</v>
      </c>
    </row>
    <row r="28" spans="1:9" x14ac:dyDescent="0.35">
      <c r="A28" s="2">
        <v>45840</v>
      </c>
      <c r="B28" s="2">
        <v>45844</v>
      </c>
      <c r="C28" s="2">
        <v>45845</v>
      </c>
      <c r="D28" s="2">
        <v>46210</v>
      </c>
      <c r="E28" s="1" t="s">
        <v>13</v>
      </c>
      <c r="F28" s="1" t="s">
        <v>11</v>
      </c>
      <c r="G28" s="1" t="s">
        <v>15</v>
      </c>
      <c r="H28" s="1">
        <f>Tableau1[[#This Row],[Date de réception]]-Tableau1[[#This Row],[Date de demande]]</f>
        <v>4</v>
      </c>
      <c r="I28" s="1" t="str">
        <f>TEXT(Tableau1[[#This Row],[Date d''expiration]], "mmmm")</f>
        <v>juillet</v>
      </c>
    </row>
    <row r="29" spans="1:9" x14ac:dyDescent="0.35">
      <c r="A29" s="2">
        <v>45847</v>
      </c>
      <c r="B29" s="2">
        <v>45851</v>
      </c>
      <c r="C29" s="2">
        <v>45852</v>
      </c>
      <c r="D29" s="2">
        <v>46217</v>
      </c>
      <c r="E29" s="1" t="s">
        <v>16</v>
      </c>
      <c r="F29" s="1" t="s">
        <v>14</v>
      </c>
      <c r="G29" s="1" t="s">
        <v>17</v>
      </c>
      <c r="H29" s="1">
        <f>Tableau1[[#This Row],[Date de réception]]-Tableau1[[#This Row],[Date de demande]]</f>
        <v>4</v>
      </c>
      <c r="I29" s="1" t="str">
        <f>TEXT(Tableau1[[#This Row],[Date d''expiration]], "mmmm")</f>
        <v>juillet</v>
      </c>
    </row>
    <row r="30" spans="1:9" x14ac:dyDescent="0.35">
      <c r="A30" s="2">
        <v>45854</v>
      </c>
      <c r="B30" s="2">
        <v>45858</v>
      </c>
      <c r="C30" s="2">
        <v>45859</v>
      </c>
      <c r="D30" s="2">
        <v>46224</v>
      </c>
      <c r="E30" s="1" t="s">
        <v>7</v>
      </c>
      <c r="F30" s="1" t="s">
        <v>8</v>
      </c>
      <c r="G30" s="1" t="s">
        <v>18</v>
      </c>
      <c r="H30" s="1">
        <f>Tableau1[[#This Row],[Date de réception]]-Tableau1[[#This Row],[Date de demande]]</f>
        <v>4</v>
      </c>
      <c r="I30" s="1" t="str">
        <f>TEXT(Tableau1[[#This Row],[Date d''expiration]], "mmmm")</f>
        <v>juillet</v>
      </c>
    </row>
    <row r="31" spans="1:9" x14ac:dyDescent="0.35">
      <c r="A31" s="2">
        <v>45861</v>
      </c>
      <c r="B31" s="2">
        <v>45865</v>
      </c>
      <c r="C31" s="2">
        <v>45866</v>
      </c>
      <c r="D31" s="2">
        <v>46231</v>
      </c>
      <c r="E31" s="1" t="s">
        <v>10</v>
      </c>
      <c r="F31" s="1" t="s">
        <v>14</v>
      </c>
      <c r="G31" s="1" t="s">
        <v>19</v>
      </c>
      <c r="H31" s="1">
        <f>Tableau1[[#This Row],[Date de réception]]-Tableau1[[#This Row],[Date de demande]]</f>
        <v>4</v>
      </c>
      <c r="I31" s="1" t="str">
        <f>TEXT(Tableau1[[#This Row],[Date d''expiration]], "mmmm")</f>
        <v>juillet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CF8D9-0AF1-4EA9-9F6A-724FF9B65DC7}">
  <sheetPr codeName="Feuil2"/>
  <dimension ref="A3:N25"/>
  <sheetViews>
    <sheetView workbookViewId="0">
      <selection activeCell="E4" sqref="E4"/>
    </sheetView>
  </sheetViews>
  <sheetFormatPr baseColWidth="10" defaultRowHeight="14.5" x14ac:dyDescent="0.35"/>
  <cols>
    <col min="1" max="1" width="25.7265625" bestFit="1" customWidth="1"/>
    <col min="2" max="2" width="15.36328125" bestFit="1" customWidth="1"/>
    <col min="5" max="5" width="13.26953125" bestFit="1" customWidth="1"/>
    <col min="6" max="6" width="19.54296875" bestFit="1" customWidth="1"/>
    <col min="7" max="7" width="24.7265625" bestFit="1" customWidth="1"/>
    <col min="10" max="10" width="19.54296875" bestFit="1" customWidth="1"/>
    <col min="11" max="11" width="25.08984375" bestFit="1" customWidth="1"/>
    <col min="13" max="13" width="19.54296875" bestFit="1" customWidth="1"/>
    <col min="14" max="14" width="25.08984375" bestFit="1" customWidth="1"/>
  </cols>
  <sheetData>
    <row r="3" spans="1:14" x14ac:dyDescent="0.35">
      <c r="A3" s="6" t="s">
        <v>26</v>
      </c>
      <c r="E3" s="6" t="s">
        <v>33</v>
      </c>
    </row>
    <row r="4" spans="1:14" x14ac:dyDescent="0.35">
      <c r="A4" s="1">
        <v>31</v>
      </c>
      <c r="E4" s="1">
        <v>31</v>
      </c>
    </row>
    <row r="6" spans="1:14" x14ac:dyDescent="0.35">
      <c r="A6" s="3" t="s">
        <v>20</v>
      </c>
      <c r="B6" t="s">
        <v>27</v>
      </c>
    </row>
    <row r="7" spans="1:14" x14ac:dyDescent="0.35">
      <c r="A7" s="4" t="s">
        <v>8</v>
      </c>
      <c r="B7" s="1">
        <v>13</v>
      </c>
      <c r="F7" s="3" t="s">
        <v>20</v>
      </c>
      <c r="G7" s="6" t="s">
        <v>40</v>
      </c>
      <c r="J7" s="3" t="s">
        <v>20</v>
      </c>
      <c r="K7" s="6" t="s">
        <v>25</v>
      </c>
      <c r="M7" s="3" t="s">
        <v>20</v>
      </c>
      <c r="N7" s="6" t="s">
        <v>25</v>
      </c>
    </row>
    <row r="8" spans="1:14" x14ac:dyDescent="0.35">
      <c r="A8" s="4" t="s">
        <v>14</v>
      </c>
      <c r="B8" s="1">
        <v>12</v>
      </c>
      <c r="F8" s="4" t="s">
        <v>36</v>
      </c>
      <c r="G8" s="1">
        <v>4</v>
      </c>
      <c r="J8" s="4" t="s">
        <v>13</v>
      </c>
      <c r="K8" s="1">
        <v>8</v>
      </c>
      <c r="M8" s="4" t="s">
        <v>9</v>
      </c>
      <c r="N8" s="1">
        <v>6</v>
      </c>
    </row>
    <row r="9" spans="1:14" x14ac:dyDescent="0.35">
      <c r="A9" s="4" t="s">
        <v>11</v>
      </c>
      <c r="B9" s="1">
        <v>6</v>
      </c>
      <c r="F9" s="4" t="s">
        <v>37</v>
      </c>
      <c r="G9" s="1">
        <v>4</v>
      </c>
      <c r="J9" s="4" t="s">
        <v>7</v>
      </c>
      <c r="K9" s="1">
        <v>8</v>
      </c>
      <c r="M9" s="4" t="s">
        <v>12</v>
      </c>
      <c r="N9" s="1">
        <v>5</v>
      </c>
    </row>
    <row r="10" spans="1:14" x14ac:dyDescent="0.35">
      <c r="A10" s="4" t="s">
        <v>21</v>
      </c>
      <c r="B10" s="1">
        <v>31</v>
      </c>
      <c r="F10" s="4" t="s">
        <v>22</v>
      </c>
      <c r="G10" s="1">
        <v>5</v>
      </c>
      <c r="J10" s="4" t="s">
        <v>10</v>
      </c>
      <c r="K10" s="1">
        <v>8</v>
      </c>
      <c r="M10" s="4" t="s">
        <v>15</v>
      </c>
      <c r="N10" s="1">
        <v>5</v>
      </c>
    </row>
    <row r="11" spans="1:14" x14ac:dyDescent="0.35">
      <c r="F11" s="4" t="s">
        <v>38</v>
      </c>
      <c r="G11" s="1">
        <v>4</v>
      </c>
      <c r="J11" s="4" t="s">
        <v>16</v>
      </c>
      <c r="K11" s="1">
        <v>7</v>
      </c>
      <c r="M11" s="4" t="s">
        <v>19</v>
      </c>
      <c r="N11" s="1">
        <v>5</v>
      </c>
    </row>
    <row r="12" spans="1:14" x14ac:dyDescent="0.35">
      <c r="A12" s="5" t="s">
        <v>28</v>
      </c>
      <c r="F12" s="4" t="s">
        <v>23</v>
      </c>
      <c r="G12" s="1">
        <v>4</v>
      </c>
      <c r="J12" s="4" t="s">
        <v>21</v>
      </c>
      <c r="K12" s="1">
        <v>31</v>
      </c>
      <c r="M12" s="4" t="s">
        <v>17</v>
      </c>
      <c r="N12" s="1">
        <v>5</v>
      </c>
    </row>
    <row r="13" spans="1:14" x14ac:dyDescent="0.35">
      <c r="A13">
        <f>GETPIVOTDATA("Statut",$A$6,"Statut","Renouvelée")</f>
        <v>12</v>
      </c>
      <c r="F13" s="4" t="s">
        <v>24</v>
      </c>
      <c r="G13" s="1">
        <v>5</v>
      </c>
      <c r="M13" s="4" t="s">
        <v>18</v>
      </c>
      <c r="N13" s="1">
        <v>5</v>
      </c>
    </row>
    <row r="14" spans="1:14" x14ac:dyDescent="0.35">
      <c r="F14" s="4" t="s">
        <v>39</v>
      </c>
      <c r="G14" s="1">
        <v>4</v>
      </c>
      <c r="M14" s="4" t="s">
        <v>21</v>
      </c>
      <c r="N14" s="1">
        <v>31</v>
      </c>
    </row>
    <row r="15" spans="1:14" x14ac:dyDescent="0.35">
      <c r="A15" s="7" t="s">
        <v>29</v>
      </c>
      <c r="F15" s="4" t="s">
        <v>41</v>
      </c>
      <c r="G15" s="1">
        <v>1</v>
      </c>
      <c r="J15" s="4" t="str">
        <f>J8</f>
        <v>Business</v>
      </c>
      <c r="K15" s="8">
        <f>GETPIVOTDATA("Date de demande",$J$7,"Type de carte","Business")/GETPIVOTDATA("Date de demande",$J$7)</f>
        <v>0.25806451612903225</v>
      </c>
    </row>
    <row r="16" spans="1:14" x14ac:dyDescent="0.35">
      <c r="A16" s="8">
        <f>GETPIVOTDATA("Statut",$A$6,"Statut","Renouvelée")/GETPIVOTDATA("Statut",$A$6)</f>
        <v>0.38709677419354838</v>
      </c>
      <c r="F16" s="4" t="s">
        <v>21</v>
      </c>
      <c r="G16" s="1">
        <v>31</v>
      </c>
      <c r="J16" s="4" t="str">
        <f>J9</f>
        <v>Classic</v>
      </c>
      <c r="K16" s="8">
        <f>GETPIVOTDATA("Date de demande",$J$7,"Type de carte","Classic")/GETPIVOTDATA("Date de demande",$J$7)</f>
        <v>0.25806451612903225</v>
      </c>
    </row>
    <row r="17" spans="1:11" x14ac:dyDescent="0.35">
      <c r="J17" s="4" t="str">
        <f>J10</f>
        <v>Gold</v>
      </c>
      <c r="K17" s="8">
        <f>GETPIVOTDATA("Date de demande",$J$7,"Type de carte","Gold")/GETPIVOTDATA("Date de demande",$J$7)</f>
        <v>0.25806451612903225</v>
      </c>
    </row>
    <row r="18" spans="1:11" x14ac:dyDescent="0.35">
      <c r="A18" s="7" t="s">
        <v>30</v>
      </c>
      <c r="J18" s="4" t="str">
        <f>J11</f>
        <v>Platinum</v>
      </c>
      <c r="K18" s="8">
        <f>GETPIVOTDATA("Date de demande",$J$7,"Type de carte","Platinum")/GETPIVOTDATA("Date de demande",$J$7)</f>
        <v>0.22580645161290322</v>
      </c>
    </row>
    <row r="19" spans="1:11" x14ac:dyDescent="0.35">
      <c r="A19">
        <f>GETPIVOTDATA("Statut",$A$6,"Statut","Supprimée")</f>
        <v>6</v>
      </c>
    </row>
    <row r="21" spans="1:11" x14ac:dyDescent="0.35">
      <c r="A21" t="s">
        <v>32</v>
      </c>
    </row>
    <row r="22" spans="1:11" x14ac:dyDescent="0.35">
      <c r="A22" s="1">
        <v>4</v>
      </c>
    </row>
    <row r="24" spans="1:11" x14ac:dyDescent="0.35">
      <c r="A24" s="7" t="s">
        <v>34</v>
      </c>
    </row>
    <row r="25" spans="1:11" x14ac:dyDescent="0.35">
      <c r="A25">
        <f>GETPIVOTDATA("Statut",$A$6,"Statut","Active")</f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B94DA-93FD-4D67-BCC5-AC9EF547A6FB}">
  <sheetPr codeName="Feuil3"/>
  <dimension ref="A1:W46"/>
  <sheetViews>
    <sheetView showGridLines="0" tabSelected="1" zoomScale="50" zoomScaleNormal="40" workbookViewId="0">
      <selection activeCell="Y28" sqref="Y28"/>
    </sheetView>
  </sheetViews>
  <sheetFormatPr baseColWidth="10" defaultRowHeight="14.5" x14ac:dyDescent="0.35"/>
  <sheetData>
    <row r="1" spans="1:23" x14ac:dyDescent="0.3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10"/>
    </row>
    <row r="2" spans="1:23" x14ac:dyDescent="0.3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3" spans="1:23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10"/>
    </row>
    <row r="4" spans="1:23" x14ac:dyDescent="0.3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10"/>
    </row>
    <row r="5" spans="1:23" x14ac:dyDescent="0.3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10"/>
    </row>
    <row r="6" spans="1:23" x14ac:dyDescent="0.3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10"/>
    </row>
    <row r="7" spans="1:23" x14ac:dyDescent="0.3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10"/>
    </row>
    <row r="8" spans="1:23" x14ac:dyDescent="0.3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10"/>
    </row>
    <row r="9" spans="1:23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10"/>
    </row>
    <row r="10" spans="1:23" x14ac:dyDescent="0.3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10"/>
    </row>
    <row r="11" spans="1:23" x14ac:dyDescent="0.3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10"/>
    </row>
    <row r="12" spans="1:23" x14ac:dyDescent="0.3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10"/>
    </row>
    <row r="13" spans="1:23" x14ac:dyDescent="0.3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10"/>
    </row>
    <row r="14" spans="1:23" x14ac:dyDescent="0.3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10"/>
    </row>
    <row r="15" spans="1:23" x14ac:dyDescent="0.3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10"/>
    </row>
    <row r="16" spans="1:23" x14ac:dyDescent="0.3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10"/>
    </row>
    <row r="17" spans="1:23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10"/>
    </row>
    <row r="18" spans="1:23" x14ac:dyDescent="0.3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10"/>
    </row>
    <row r="19" spans="1:23" x14ac:dyDescent="0.3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10"/>
    </row>
    <row r="20" spans="1:23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10"/>
    </row>
    <row r="21" spans="1:23" x14ac:dyDescent="0.3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10"/>
    </row>
    <row r="22" spans="1:23" x14ac:dyDescent="0.3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10"/>
    </row>
    <row r="23" spans="1:23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10"/>
    </row>
    <row r="24" spans="1:23" x14ac:dyDescent="0.3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10"/>
    </row>
    <row r="25" spans="1:23" x14ac:dyDescent="0.3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10"/>
    </row>
    <row r="26" spans="1:23" x14ac:dyDescent="0.3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10"/>
    </row>
    <row r="27" spans="1:23" x14ac:dyDescent="0.3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10"/>
    </row>
    <row r="28" spans="1:23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10"/>
    </row>
    <row r="29" spans="1:23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10"/>
    </row>
    <row r="30" spans="1:23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10"/>
    </row>
    <row r="31" spans="1:23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10"/>
    </row>
    <row r="32" spans="1:23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10"/>
    </row>
    <row r="33" spans="1:23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10"/>
    </row>
    <row r="34" spans="1:23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10"/>
    </row>
    <row r="35" spans="1:23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10"/>
    </row>
    <row r="36" spans="1:23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10"/>
    </row>
    <row r="37" spans="1:23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10"/>
    </row>
    <row r="38" spans="1:23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10"/>
    </row>
    <row r="39" spans="1:23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10"/>
    </row>
    <row r="40" spans="1:23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10"/>
    </row>
    <row r="41" spans="1:23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10"/>
    </row>
    <row r="42" spans="1:23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10"/>
    </row>
    <row r="43" spans="1:23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10"/>
    </row>
    <row r="44" spans="1:23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10"/>
    </row>
    <row r="45" spans="1:23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10"/>
    </row>
    <row r="46" spans="1:23" x14ac:dyDescent="0.3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BABD9B-E6B3-4CE7-9336-7F21CC53D5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Données</vt:lpstr>
      <vt:lpstr>KPI</vt:lpstr>
      <vt:lpstr>Tableau de bord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onesim n'dri</dc:creator>
  <cp:lastModifiedBy>onesim n'dri</cp:lastModifiedBy>
  <dcterms:created xsi:type="dcterms:W3CDTF">2025-07-13T19:30:45Z</dcterms:created>
  <dcterms:modified xsi:type="dcterms:W3CDTF">2025-08-22T09:05:46Z</dcterms:modified>
</cp:coreProperties>
</file>